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codeName="ThisWorkbook" defaultThemeVersion="124226"/>
  <bookViews>
    <workbookView xWindow="-30" yWindow="1050" windowWidth="18825" windowHeight="6780" tabRatio="693" activeTab="1"/>
  </bookViews>
  <sheets>
    <sheet name="Summary" sheetId="98" r:id="rId1"/>
    <sheet name="Subject" sheetId="99" r:id="rId2"/>
  </sheets>
  <definedNames>
    <definedName name="_xlnm.Print_Area" localSheetId="0">Summary!$A$1:$P$80</definedName>
  </definedNames>
  <calcPr calcId="152511"/>
</workbook>
</file>

<file path=xl/calcChain.xml><?xml version="1.0" encoding="utf-8"?>
<calcChain xmlns="http://schemas.openxmlformats.org/spreadsheetml/2006/main">
  <c r="Q173" i="99" l="1"/>
  <c r="Q172" i="99"/>
  <c r="Q171" i="99"/>
  <c r="Q170" i="99"/>
  <c r="Q169" i="99"/>
  <c r="Q168" i="99"/>
  <c r="Q167" i="99"/>
  <c r="X166" i="99"/>
  <c r="W166" i="99"/>
  <c r="V166" i="99"/>
  <c r="U166" i="99"/>
  <c r="T166" i="99"/>
  <c r="S166" i="99"/>
  <c r="R166" i="99"/>
  <c r="Q166" i="99"/>
  <c r="X165" i="99"/>
  <c r="W165" i="99"/>
  <c r="V165" i="99"/>
  <c r="U165" i="99"/>
  <c r="T165" i="99"/>
  <c r="S165" i="99"/>
  <c r="R165" i="99"/>
  <c r="Q165" i="99"/>
  <c r="X164" i="99"/>
  <c r="W164" i="99"/>
  <c r="V164" i="99"/>
  <c r="U164" i="99"/>
  <c r="T164" i="99"/>
  <c r="S164" i="99"/>
  <c r="R164" i="99"/>
  <c r="Q164" i="99"/>
  <c r="X163" i="99"/>
  <c r="W163" i="99"/>
  <c r="V163" i="99"/>
  <c r="U163" i="99"/>
  <c r="T163" i="99"/>
  <c r="S163" i="99"/>
  <c r="R163" i="99"/>
  <c r="Q163" i="99"/>
  <c r="X162" i="99"/>
  <c r="W162" i="99"/>
  <c r="V162" i="99"/>
  <c r="U162" i="99"/>
  <c r="T162" i="99"/>
  <c r="S162" i="99"/>
  <c r="R162" i="99"/>
  <c r="Q162" i="99"/>
  <c r="X161" i="99"/>
  <c r="W161" i="99"/>
  <c r="V161" i="99"/>
  <c r="U161" i="99"/>
  <c r="T161" i="99"/>
  <c r="S161" i="99"/>
  <c r="R161" i="99"/>
  <c r="Q161" i="99"/>
  <c r="X160" i="99"/>
  <c r="W160" i="99"/>
  <c r="V160" i="99"/>
  <c r="U160" i="99"/>
  <c r="T160" i="99"/>
  <c r="S160" i="99"/>
  <c r="R160" i="99"/>
  <c r="Q160" i="99"/>
  <c r="X159" i="99"/>
  <c r="W159" i="99"/>
  <c r="V159" i="99"/>
  <c r="U159" i="99"/>
  <c r="T159" i="99"/>
  <c r="S159" i="99"/>
  <c r="R159" i="99"/>
  <c r="Q159" i="99"/>
  <c r="X158" i="99"/>
  <c r="W158" i="99"/>
  <c r="V158" i="99"/>
  <c r="U158" i="99"/>
  <c r="T158" i="99"/>
  <c r="S158" i="99"/>
  <c r="R158" i="99"/>
  <c r="Q158" i="99"/>
  <c r="X157" i="99"/>
  <c r="W157" i="99"/>
  <c r="V157" i="99"/>
  <c r="U157" i="99"/>
  <c r="T157" i="99"/>
  <c r="S157" i="99"/>
  <c r="R157" i="99"/>
  <c r="Q157" i="99"/>
  <c r="X156" i="99"/>
  <c r="W156" i="99"/>
  <c r="V156" i="99"/>
  <c r="U156" i="99"/>
  <c r="T156" i="99"/>
  <c r="S156" i="99"/>
  <c r="R156" i="99"/>
  <c r="Q156" i="99"/>
  <c r="X155" i="99"/>
  <c r="W155" i="99"/>
  <c r="V155" i="99"/>
  <c r="U155" i="99"/>
  <c r="T155" i="99"/>
  <c r="S155" i="99"/>
  <c r="R155" i="99"/>
  <c r="Q155" i="99"/>
  <c r="X154" i="99"/>
  <c r="W154" i="99"/>
  <c r="V154" i="99"/>
  <c r="U154" i="99"/>
  <c r="T154" i="99"/>
  <c r="S154" i="99"/>
  <c r="R154" i="99"/>
  <c r="Q154" i="99"/>
  <c r="X153" i="99"/>
  <c r="W153" i="99"/>
  <c r="V153" i="99"/>
  <c r="U153" i="99"/>
  <c r="T153" i="99"/>
  <c r="S153" i="99"/>
  <c r="R153" i="99"/>
  <c r="Q153" i="99"/>
  <c r="X152" i="99"/>
  <c r="W152" i="99"/>
  <c r="V152" i="99"/>
  <c r="U152" i="99"/>
  <c r="T152" i="99"/>
  <c r="S152" i="99"/>
  <c r="R152" i="99"/>
  <c r="Q152" i="99"/>
  <c r="X151" i="99"/>
  <c r="W151" i="99"/>
  <c r="V151" i="99"/>
  <c r="U151" i="99"/>
  <c r="T151" i="99"/>
  <c r="S151" i="99"/>
  <c r="R151" i="99"/>
  <c r="Q151" i="99"/>
  <c r="X150" i="99"/>
  <c r="W150" i="99"/>
  <c r="V150" i="99"/>
  <c r="U150" i="99"/>
  <c r="T150" i="99"/>
  <c r="S150" i="99"/>
  <c r="R150" i="99"/>
  <c r="Q150" i="99"/>
  <c r="X149" i="99"/>
  <c r="W149" i="99"/>
  <c r="V149" i="99"/>
  <c r="U149" i="99"/>
  <c r="T149" i="99"/>
  <c r="S149" i="99"/>
  <c r="R149" i="99"/>
  <c r="Q149" i="99"/>
  <c r="X148" i="99"/>
  <c r="W148" i="99"/>
  <c r="V148" i="99"/>
  <c r="U148" i="99"/>
  <c r="T148" i="99"/>
  <c r="S148" i="99"/>
  <c r="R148" i="99"/>
  <c r="Q148" i="99"/>
  <c r="X147" i="99"/>
  <c r="W147" i="99"/>
  <c r="V147" i="99"/>
  <c r="U147" i="99"/>
  <c r="T147" i="99"/>
  <c r="S147" i="99"/>
  <c r="R147" i="99"/>
  <c r="Q147" i="99"/>
  <c r="X146" i="99"/>
  <c r="W146" i="99"/>
  <c r="V146" i="99"/>
  <c r="U146" i="99"/>
  <c r="T146" i="99"/>
  <c r="S146" i="99"/>
  <c r="R146" i="99"/>
  <c r="Q146" i="99"/>
  <c r="X145" i="99"/>
  <c r="W145" i="99"/>
  <c r="V145" i="99"/>
  <c r="U145" i="99"/>
  <c r="T145" i="99"/>
  <c r="S145" i="99"/>
  <c r="R145" i="99"/>
  <c r="Q145" i="99"/>
  <c r="X144" i="99"/>
  <c r="W144" i="99"/>
  <c r="V144" i="99"/>
  <c r="U144" i="99"/>
  <c r="T144" i="99"/>
  <c r="S144" i="99"/>
  <c r="R144" i="99"/>
  <c r="Q144" i="99"/>
  <c r="X143" i="99"/>
  <c r="W143" i="99"/>
  <c r="V143" i="99"/>
  <c r="U143" i="99"/>
  <c r="T143" i="99"/>
  <c r="S143" i="99"/>
  <c r="R143" i="99"/>
  <c r="Q143" i="99"/>
  <c r="X142" i="99"/>
  <c r="W142" i="99"/>
  <c r="V142" i="99"/>
  <c r="U142" i="99"/>
  <c r="T142" i="99"/>
  <c r="S142" i="99"/>
  <c r="R142" i="99"/>
  <c r="Q142" i="99"/>
  <c r="X141" i="99"/>
  <c r="V141" i="99"/>
  <c r="S141" i="99"/>
  <c r="R141" i="99"/>
  <c r="Q137" i="99"/>
  <c r="Q136" i="99"/>
  <c r="Q135" i="99"/>
  <c r="Q134" i="99"/>
  <c r="Q133" i="99"/>
  <c r="Q132" i="99"/>
  <c r="Q131" i="99"/>
  <c r="X130" i="99"/>
  <c r="W130" i="99"/>
  <c r="V130" i="99"/>
  <c r="U130" i="99"/>
  <c r="T130" i="99"/>
  <c r="S130" i="99"/>
  <c r="R130" i="99"/>
  <c r="Q130" i="99"/>
  <c r="X129" i="99"/>
  <c r="W129" i="99"/>
  <c r="V129" i="99"/>
  <c r="U129" i="99"/>
  <c r="T129" i="99"/>
  <c r="S129" i="99"/>
  <c r="R129" i="99"/>
  <c r="Q129" i="99"/>
  <c r="X128" i="99"/>
  <c r="W128" i="99"/>
  <c r="V128" i="99"/>
  <c r="U128" i="99"/>
  <c r="T128" i="99"/>
  <c r="S128" i="99"/>
  <c r="R128" i="99"/>
  <c r="Q128" i="99"/>
  <c r="X127" i="99"/>
  <c r="W127" i="99"/>
  <c r="V127" i="99"/>
  <c r="U127" i="99"/>
  <c r="T127" i="99"/>
  <c r="S127" i="99"/>
  <c r="R127" i="99"/>
  <c r="Q127" i="99"/>
  <c r="X126" i="99"/>
  <c r="W126" i="99"/>
  <c r="V126" i="99"/>
  <c r="U126" i="99"/>
  <c r="T126" i="99"/>
  <c r="S126" i="99"/>
  <c r="R126" i="99"/>
  <c r="Q126" i="99"/>
  <c r="X125" i="99"/>
  <c r="W125" i="99"/>
  <c r="V125" i="99"/>
  <c r="U125" i="99"/>
  <c r="T125" i="99"/>
  <c r="S125" i="99"/>
  <c r="R125" i="99"/>
  <c r="Q125" i="99"/>
  <c r="X124" i="99"/>
  <c r="W124" i="99"/>
  <c r="V124" i="99"/>
  <c r="U124" i="99"/>
  <c r="T124" i="99"/>
  <c r="S124" i="99"/>
  <c r="R124" i="99"/>
  <c r="Q124" i="99"/>
  <c r="X123" i="99"/>
  <c r="W123" i="99"/>
  <c r="V123" i="99"/>
  <c r="U123" i="99"/>
  <c r="T123" i="99"/>
  <c r="S123" i="99"/>
  <c r="R123" i="99"/>
  <c r="Q123" i="99"/>
  <c r="X122" i="99"/>
  <c r="W122" i="99"/>
  <c r="V122" i="99"/>
  <c r="U122" i="99"/>
  <c r="T122" i="99"/>
  <c r="S122" i="99"/>
  <c r="R122" i="99"/>
  <c r="Q122" i="99"/>
  <c r="X121" i="99"/>
  <c r="W121" i="99"/>
  <c r="V121" i="99"/>
  <c r="U121" i="99"/>
  <c r="T121" i="99"/>
  <c r="S121" i="99"/>
  <c r="R121" i="99"/>
  <c r="Q121" i="99"/>
  <c r="X120" i="99"/>
  <c r="W120" i="99"/>
  <c r="V120" i="99"/>
  <c r="U120" i="99"/>
  <c r="T120" i="99"/>
  <c r="S120" i="99"/>
  <c r="R120" i="99"/>
  <c r="Q120" i="99"/>
  <c r="X119" i="99"/>
  <c r="W119" i="99"/>
  <c r="V119" i="99"/>
  <c r="U119" i="99"/>
  <c r="T119" i="99"/>
  <c r="S119" i="99"/>
  <c r="R119" i="99"/>
  <c r="Q119" i="99"/>
  <c r="X118" i="99"/>
  <c r="W118" i="99"/>
  <c r="V118" i="99"/>
  <c r="U118" i="99"/>
  <c r="T118" i="99"/>
  <c r="S118" i="99"/>
  <c r="R118" i="99"/>
  <c r="Q118" i="99"/>
  <c r="X117" i="99"/>
  <c r="W117" i="99"/>
  <c r="V117" i="99"/>
  <c r="U117" i="99"/>
  <c r="T117" i="99"/>
  <c r="S117" i="99"/>
  <c r="R117" i="99"/>
  <c r="Q117" i="99"/>
  <c r="X116" i="99"/>
  <c r="W116" i="99"/>
  <c r="V116" i="99"/>
  <c r="U116" i="99"/>
  <c r="T116" i="99"/>
  <c r="S116" i="99"/>
  <c r="R116" i="99"/>
  <c r="Q116" i="99"/>
  <c r="X115" i="99"/>
  <c r="W115" i="99"/>
  <c r="V115" i="99"/>
  <c r="U115" i="99"/>
  <c r="T115" i="99"/>
  <c r="S115" i="99"/>
  <c r="R115" i="99"/>
  <c r="Q115" i="99"/>
  <c r="X114" i="99"/>
  <c r="W114" i="99"/>
  <c r="V114" i="99"/>
  <c r="U114" i="99"/>
  <c r="T114" i="99"/>
  <c r="S114" i="99"/>
  <c r="R114" i="99"/>
  <c r="Q114" i="99"/>
  <c r="X113" i="99"/>
  <c r="W113" i="99"/>
  <c r="V113" i="99"/>
  <c r="U113" i="99"/>
  <c r="T113" i="99"/>
  <c r="S113" i="99"/>
  <c r="R113" i="99"/>
  <c r="Q113" i="99"/>
  <c r="X112" i="99"/>
  <c r="W112" i="99"/>
  <c r="V112" i="99"/>
  <c r="U112" i="99"/>
  <c r="T112" i="99"/>
  <c r="S112" i="99"/>
  <c r="R112" i="99"/>
  <c r="Q112" i="99"/>
  <c r="X111" i="99"/>
  <c r="W111" i="99"/>
  <c r="V111" i="99"/>
  <c r="U111" i="99"/>
  <c r="T111" i="99"/>
  <c r="S111" i="99"/>
  <c r="R111" i="99"/>
  <c r="Q111" i="99"/>
  <c r="X110" i="99"/>
  <c r="W110" i="99"/>
  <c r="V110" i="99"/>
  <c r="U110" i="99"/>
  <c r="T110" i="99"/>
  <c r="S110" i="99"/>
  <c r="R110" i="99"/>
  <c r="Q110" i="99"/>
  <c r="X109" i="99"/>
  <c r="W109" i="99"/>
  <c r="V109" i="99"/>
  <c r="U109" i="99"/>
  <c r="T109" i="99"/>
  <c r="S109" i="99"/>
  <c r="R109" i="99"/>
  <c r="Q109" i="99"/>
  <c r="X108" i="99"/>
  <c r="W108" i="99"/>
  <c r="V108" i="99"/>
  <c r="U108" i="99"/>
  <c r="T108" i="99"/>
  <c r="S108" i="99"/>
  <c r="R108" i="99"/>
  <c r="Q108" i="99"/>
  <c r="X107" i="99"/>
  <c r="W107" i="99"/>
  <c r="V107" i="99"/>
  <c r="U107" i="99"/>
  <c r="T107" i="99"/>
  <c r="S107" i="99"/>
  <c r="R107" i="99"/>
  <c r="Q107" i="99"/>
  <c r="X106" i="99"/>
  <c r="W106" i="99"/>
  <c r="V106" i="99"/>
  <c r="U106" i="99"/>
  <c r="T106" i="99"/>
  <c r="S106" i="99"/>
  <c r="R106" i="99"/>
  <c r="Q106" i="99"/>
  <c r="X105" i="99"/>
  <c r="V105" i="99"/>
  <c r="S105" i="99"/>
  <c r="R105" i="99"/>
  <c r="Q101" i="99"/>
  <c r="Q100" i="99"/>
  <c r="Q99" i="99"/>
  <c r="Q98" i="99"/>
  <c r="Q97" i="99"/>
  <c r="Q96" i="99"/>
  <c r="Q95" i="99"/>
  <c r="X94" i="99"/>
  <c r="W94" i="99"/>
  <c r="V94" i="99"/>
  <c r="U94" i="99"/>
  <c r="T94" i="99"/>
  <c r="S94" i="99"/>
  <c r="R94" i="99"/>
  <c r="Q94" i="99"/>
  <c r="X93" i="99"/>
  <c r="W93" i="99"/>
  <c r="V93" i="99"/>
  <c r="U93" i="99"/>
  <c r="T93" i="99"/>
  <c r="S93" i="99"/>
  <c r="R93" i="99"/>
  <c r="Q93" i="99"/>
  <c r="X92" i="99"/>
  <c r="W92" i="99"/>
  <c r="V92" i="99"/>
  <c r="U92" i="99"/>
  <c r="T92" i="99"/>
  <c r="S92" i="99"/>
  <c r="R92" i="99"/>
  <c r="Q92" i="99"/>
  <c r="X91" i="99"/>
  <c r="W91" i="99"/>
  <c r="V91" i="99"/>
  <c r="U91" i="99"/>
  <c r="T91" i="99"/>
  <c r="S91" i="99"/>
  <c r="R91" i="99"/>
  <c r="Q91" i="99"/>
  <c r="X90" i="99"/>
  <c r="W90" i="99"/>
  <c r="V90" i="99"/>
  <c r="U90" i="99"/>
  <c r="T90" i="99"/>
  <c r="S90" i="99"/>
  <c r="R90" i="99"/>
  <c r="Q90" i="99"/>
  <c r="X89" i="99"/>
  <c r="W89" i="99"/>
  <c r="V89" i="99"/>
  <c r="U89" i="99"/>
  <c r="T89" i="99"/>
  <c r="S89" i="99"/>
  <c r="R89" i="99"/>
  <c r="Q89" i="99"/>
  <c r="X88" i="99"/>
  <c r="W88" i="99"/>
  <c r="V88" i="99"/>
  <c r="U88" i="99"/>
  <c r="T88" i="99"/>
  <c r="S88" i="99"/>
  <c r="R88" i="99"/>
  <c r="Q88" i="99"/>
  <c r="X87" i="99"/>
  <c r="W87" i="99"/>
  <c r="V87" i="99"/>
  <c r="U87" i="99"/>
  <c r="T87" i="99"/>
  <c r="S87" i="99"/>
  <c r="R87" i="99"/>
  <c r="Q87" i="99"/>
  <c r="X86" i="99"/>
  <c r="W86" i="99"/>
  <c r="V86" i="99"/>
  <c r="U86" i="99"/>
  <c r="T86" i="99"/>
  <c r="S86" i="99"/>
  <c r="R86" i="99"/>
  <c r="Q86" i="99"/>
  <c r="X85" i="99"/>
  <c r="W85" i="99"/>
  <c r="V85" i="99"/>
  <c r="U85" i="99"/>
  <c r="T85" i="99"/>
  <c r="S85" i="99"/>
  <c r="R85" i="99"/>
  <c r="Q85" i="99"/>
  <c r="X84" i="99"/>
  <c r="W84" i="99"/>
  <c r="V84" i="99"/>
  <c r="U84" i="99"/>
  <c r="T84" i="99"/>
  <c r="S84" i="99"/>
  <c r="R84" i="99"/>
  <c r="Q84" i="99"/>
  <c r="X83" i="99"/>
  <c r="W83" i="99"/>
  <c r="V83" i="99"/>
  <c r="U83" i="99"/>
  <c r="T83" i="99"/>
  <c r="S83" i="99"/>
  <c r="R83" i="99"/>
  <c r="Q83" i="99"/>
  <c r="X82" i="99"/>
  <c r="W82" i="99"/>
  <c r="V82" i="99"/>
  <c r="U82" i="99"/>
  <c r="T82" i="99"/>
  <c r="S82" i="99"/>
  <c r="R82" i="99"/>
  <c r="Q82" i="99"/>
  <c r="X81" i="99"/>
  <c r="W81" i="99"/>
  <c r="V81" i="99"/>
  <c r="U81" i="99"/>
  <c r="T81" i="99"/>
  <c r="S81" i="99"/>
  <c r="R81" i="99"/>
  <c r="Q81" i="99"/>
  <c r="X80" i="99"/>
  <c r="W80" i="99"/>
  <c r="V80" i="99"/>
  <c r="U80" i="99"/>
  <c r="T80" i="99"/>
  <c r="S80" i="99"/>
  <c r="R80" i="99"/>
  <c r="Q80" i="99"/>
  <c r="X79" i="99"/>
  <c r="W79" i="99"/>
  <c r="V79" i="99"/>
  <c r="U79" i="99"/>
  <c r="T79" i="99"/>
  <c r="S79" i="99"/>
  <c r="R79" i="99"/>
  <c r="Q79" i="99"/>
  <c r="X78" i="99"/>
  <c r="W78" i="99"/>
  <c r="V78" i="99"/>
  <c r="U78" i="99"/>
  <c r="T78" i="99"/>
  <c r="S78" i="99"/>
  <c r="R78" i="99"/>
  <c r="Q78" i="99"/>
  <c r="X77" i="99"/>
  <c r="W77" i="99"/>
  <c r="V77" i="99"/>
  <c r="U77" i="99"/>
  <c r="T77" i="99"/>
  <c r="S77" i="99"/>
  <c r="R77" i="99"/>
  <c r="Q77" i="99"/>
  <c r="X76" i="99"/>
  <c r="W76" i="99"/>
  <c r="V76" i="99"/>
  <c r="U76" i="99"/>
  <c r="T76" i="99"/>
  <c r="S76" i="99"/>
  <c r="R76" i="99"/>
  <c r="Q76" i="99"/>
  <c r="X75" i="99"/>
  <c r="W75" i="99"/>
  <c r="V75" i="99"/>
  <c r="U75" i="99"/>
  <c r="T75" i="99"/>
  <c r="S75" i="99"/>
  <c r="R75" i="99"/>
  <c r="Q75" i="99"/>
  <c r="X74" i="99"/>
  <c r="W74" i="99"/>
  <c r="V74" i="99"/>
  <c r="U74" i="99"/>
  <c r="T74" i="99"/>
  <c r="S74" i="99"/>
  <c r="R74" i="99"/>
  <c r="Q74" i="99"/>
  <c r="X73" i="99"/>
  <c r="W73" i="99"/>
  <c r="V73" i="99"/>
  <c r="U73" i="99"/>
  <c r="T73" i="99"/>
  <c r="S73" i="99"/>
  <c r="R73" i="99"/>
  <c r="Q73" i="99"/>
  <c r="X72" i="99"/>
  <c r="W72" i="99"/>
  <c r="V72" i="99"/>
  <c r="U72" i="99"/>
  <c r="T72" i="99"/>
  <c r="S72" i="99"/>
  <c r="R72" i="99"/>
  <c r="Q72" i="99"/>
  <c r="X71" i="99"/>
  <c r="W71" i="99"/>
  <c r="V71" i="99"/>
  <c r="U71" i="99"/>
  <c r="T71" i="99"/>
  <c r="S71" i="99"/>
  <c r="R71" i="99"/>
  <c r="Q71" i="99"/>
  <c r="X70" i="99"/>
  <c r="W70" i="99"/>
  <c r="V70" i="99"/>
  <c r="U70" i="99"/>
  <c r="T70" i="99"/>
  <c r="S70" i="99"/>
  <c r="R70" i="99"/>
  <c r="Q70" i="99"/>
  <c r="X69" i="99"/>
  <c r="V69" i="99"/>
  <c r="S69" i="99"/>
  <c r="R69" i="99"/>
  <c r="Q65" i="99"/>
  <c r="Q64" i="99"/>
  <c r="Q63" i="99"/>
  <c r="Q62" i="99"/>
  <c r="Q61" i="99"/>
  <c r="Q60" i="99"/>
  <c r="Q59" i="99"/>
  <c r="X58" i="99"/>
  <c r="W58" i="99"/>
  <c r="V58" i="99"/>
  <c r="U58" i="99"/>
  <c r="T58" i="99"/>
  <c r="S58" i="99"/>
  <c r="R58" i="99"/>
  <c r="Q58" i="99"/>
  <c r="X57" i="99"/>
  <c r="W57" i="99"/>
  <c r="V57" i="99"/>
  <c r="U57" i="99"/>
  <c r="T57" i="99"/>
  <c r="S57" i="99"/>
  <c r="R57" i="99"/>
  <c r="Q57" i="99"/>
  <c r="X56" i="99"/>
  <c r="W56" i="99"/>
  <c r="V56" i="99"/>
  <c r="U56" i="99"/>
  <c r="T56" i="99"/>
  <c r="S56" i="99"/>
  <c r="R56" i="99"/>
  <c r="Q56" i="99"/>
  <c r="X55" i="99"/>
  <c r="W55" i="99"/>
  <c r="V55" i="99"/>
  <c r="U55" i="99"/>
  <c r="T55" i="99"/>
  <c r="S55" i="99"/>
  <c r="R55" i="99"/>
  <c r="Q55" i="99"/>
  <c r="X54" i="99"/>
  <c r="W54" i="99"/>
  <c r="V54" i="99"/>
  <c r="U54" i="99"/>
  <c r="T54" i="99"/>
  <c r="S54" i="99"/>
  <c r="R54" i="99"/>
  <c r="Q54" i="99"/>
  <c r="X53" i="99"/>
  <c r="W53" i="99"/>
  <c r="V53" i="99"/>
  <c r="U53" i="99"/>
  <c r="T53" i="99"/>
  <c r="S53" i="99"/>
  <c r="R53" i="99"/>
  <c r="Q53" i="99"/>
  <c r="X52" i="99"/>
  <c r="W52" i="99"/>
  <c r="V52" i="99"/>
  <c r="U52" i="99"/>
  <c r="T52" i="99"/>
  <c r="S52" i="99"/>
  <c r="R52" i="99"/>
  <c r="Q52" i="99"/>
  <c r="X51" i="99"/>
  <c r="W51" i="99"/>
  <c r="V51" i="99"/>
  <c r="U51" i="99"/>
  <c r="T51" i="99"/>
  <c r="S51" i="99"/>
  <c r="R51" i="99"/>
  <c r="Q51" i="99"/>
  <c r="X50" i="99"/>
  <c r="W50" i="99"/>
  <c r="V50" i="99"/>
  <c r="U50" i="99"/>
  <c r="T50" i="99"/>
  <c r="S50" i="99"/>
  <c r="R50" i="99"/>
  <c r="Q50" i="99"/>
  <c r="X49" i="99"/>
  <c r="W49" i="99"/>
  <c r="V49" i="99"/>
  <c r="U49" i="99"/>
  <c r="T49" i="99"/>
  <c r="S49" i="99"/>
  <c r="R49" i="99"/>
  <c r="Q49" i="99"/>
  <c r="X48" i="99"/>
  <c r="W48" i="99"/>
  <c r="V48" i="99"/>
  <c r="U48" i="99"/>
  <c r="T48" i="99"/>
  <c r="S48" i="99"/>
  <c r="R48" i="99"/>
  <c r="Q48" i="99"/>
  <c r="X47" i="99"/>
  <c r="W47" i="99"/>
  <c r="V47" i="99"/>
  <c r="U47" i="99"/>
  <c r="T47" i="99"/>
  <c r="S47" i="99"/>
  <c r="R47" i="99"/>
  <c r="Q47" i="99"/>
  <c r="X46" i="99"/>
  <c r="W46" i="99"/>
  <c r="V46" i="99"/>
  <c r="U46" i="99"/>
  <c r="T46" i="99"/>
  <c r="S46" i="99"/>
  <c r="R46" i="99"/>
  <c r="Q46" i="99"/>
  <c r="X45" i="99"/>
  <c r="W45" i="99"/>
  <c r="V45" i="99"/>
  <c r="U45" i="99"/>
  <c r="T45" i="99"/>
  <c r="S45" i="99"/>
  <c r="R45" i="99"/>
  <c r="Q45" i="99"/>
  <c r="X44" i="99"/>
  <c r="W44" i="99"/>
  <c r="V44" i="99"/>
  <c r="U44" i="99"/>
  <c r="T44" i="99"/>
  <c r="S44" i="99"/>
  <c r="R44" i="99"/>
  <c r="Q44" i="99"/>
  <c r="X43" i="99"/>
  <c r="W43" i="99"/>
  <c r="V43" i="99"/>
  <c r="U43" i="99"/>
  <c r="T43" i="99"/>
  <c r="S43" i="99"/>
  <c r="R43" i="99"/>
  <c r="Q43" i="99"/>
  <c r="X42" i="99"/>
  <c r="W42" i="99"/>
  <c r="V42" i="99"/>
  <c r="U42" i="99"/>
  <c r="T42" i="99"/>
  <c r="S42" i="99"/>
  <c r="R42" i="99"/>
  <c r="Q42" i="99"/>
  <c r="X41" i="99"/>
  <c r="W41" i="99"/>
  <c r="V41" i="99"/>
  <c r="U41" i="99"/>
  <c r="T41" i="99"/>
  <c r="S41" i="99"/>
  <c r="R41" i="99"/>
  <c r="Q41" i="99"/>
  <c r="X40" i="99"/>
  <c r="W40" i="99"/>
  <c r="V40" i="99"/>
  <c r="U40" i="99"/>
  <c r="T40" i="99"/>
  <c r="S40" i="99"/>
  <c r="R40" i="99"/>
  <c r="Q40" i="99"/>
  <c r="X39" i="99"/>
  <c r="W39" i="99"/>
  <c r="V39" i="99"/>
  <c r="U39" i="99"/>
  <c r="T39" i="99"/>
  <c r="S39" i="99"/>
  <c r="R39" i="99"/>
  <c r="Q39" i="99"/>
  <c r="X38" i="99"/>
  <c r="W38" i="99"/>
  <c r="V38" i="99"/>
  <c r="U38" i="99"/>
  <c r="T38" i="99"/>
  <c r="S38" i="99"/>
  <c r="R38" i="99"/>
  <c r="Q38" i="99"/>
  <c r="X37" i="99"/>
  <c r="W37" i="99"/>
  <c r="V37" i="99"/>
  <c r="U37" i="99"/>
  <c r="T37" i="99"/>
  <c r="S37" i="99"/>
  <c r="R37" i="99"/>
  <c r="Q37" i="99"/>
  <c r="X36" i="99"/>
  <c r="W36" i="99"/>
  <c r="V36" i="99"/>
  <c r="U36" i="99"/>
  <c r="T36" i="99"/>
  <c r="S36" i="99"/>
  <c r="R36" i="99"/>
  <c r="Q36" i="99"/>
  <c r="X35" i="99"/>
  <c r="W35" i="99"/>
  <c r="V35" i="99"/>
  <c r="U35" i="99"/>
  <c r="T35" i="99"/>
  <c r="S35" i="99"/>
  <c r="R35" i="99"/>
  <c r="Q35" i="99"/>
  <c r="X34" i="99"/>
  <c r="W34" i="99"/>
  <c r="V34" i="99"/>
  <c r="U34" i="99"/>
  <c r="T34" i="99"/>
  <c r="S34" i="99"/>
  <c r="R34" i="99"/>
  <c r="Q34" i="99"/>
  <c r="X33" i="99"/>
  <c r="V33" i="99"/>
  <c r="S33" i="99"/>
  <c r="R33" i="99"/>
</calcChain>
</file>

<file path=xl/sharedStrings.xml><?xml version="1.0" encoding="utf-8"?>
<sst xmlns="http://schemas.openxmlformats.org/spreadsheetml/2006/main" count="83" uniqueCount="52">
  <si>
    <t>累计收益额(万元）</t>
    <phoneticPr fontId="2" type="noConversion"/>
  </si>
  <si>
    <t>投入资金线</t>
    <phoneticPr fontId="2" type="noConversion"/>
  </si>
  <si>
    <t>累计收益率</t>
    <phoneticPr fontId="2" type="noConversion"/>
  </si>
  <si>
    <t>持仓仓位</t>
    <phoneticPr fontId="2" type="noConversion"/>
  </si>
  <si>
    <t>二级总仓风控线</t>
    <phoneticPr fontId="2" type="noConversion"/>
  </si>
  <si>
    <t>周一</t>
    <phoneticPr fontId="2" type="noConversion"/>
  </si>
  <si>
    <t>波段收益明细</t>
    <phoneticPr fontId="2" type="noConversion"/>
  </si>
  <si>
    <t>序号</t>
    <phoneticPr fontId="2" type="noConversion"/>
  </si>
  <si>
    <t>日期</t>
    <phoneticPr fontId="2" type="noConversion"/>
  </si>
  <si>
    <t>当日净资产</t>
    <phoneticPr fontId="2" type="noConversion"/>
  </si>
  <si>
    <t>当日净资产</t>
    <phoneticPr fontId="2" type="noConversion"/>
  </si>
  <si>
    <t>投入资金(万元）</t>
    <phoneticPr fontId="2" type="noConversion"/>
  </si>
  <si>
    <t>当日收益率</t>
    <phoneticPr fontId="2" type="noConversion"/>
  </si>
  <si>
    <t>日收益额（万元）</t>
    <phoneticPr fontId="2" type="noConversion"/>
  </si>
  <si>
    <t>持仓市值</t>
    <phoneticPr fontId="2" type="noConversion"/>
  </si>
  <si>
    <t>周累计</t>
    <phoneticPr fontId="2" type="noConversion"/>
  </si>
  <si>
    <t>资金可用额度</t>
    <phoneticPr fontId="2" type="noConversion"/>
  </si>
  <si>
    <t>资金可用额度</t>
    <phoneticPr fontId="2" type="noConversion"/>
  </si>
  <si>
    <t>持仓仓位</t>
    <phoneticPr fontId="2" type="noConversion"/>
  </si>
  <si>
    <t>日内分控线</t>
    <phoneticPr fontId="2" type="noConversion"/>
  </si>
  <si>
    <t>极限总仓风控线</t>
    <phoneticPr fontId="2" type="noConversion"/>
  </si>
  <si>
    <t>极限总仓风控线</t>
    <phoneticPr fontId="2" type="noConversion"/>
  </si>
  <si>
    <t>周一</t>
    <phoneticPr fontId="2" type="noConversion"/>
  </si>
  <si>
    <t>累计收益率</t>
    <phoneticPr fontId="2" type="noConversion"/>
  </si>
  <si>
    <t>基准</t>
    <phoneticPr fontId="2" type="noConversion"/>
  </si>
  <si>
    <t>基准</t>
    <phoneticPr fontId="2" type="noConversion"/>
  </si>
  <si>
    <t>目标收益明细</t>
    <phoneticPr fontId="2" type="noConversion"/>
  </si>
  <si>
    <t>序号</t>
    <phoneticPr fontId="2" type="noConversion"/>
  </si>
  <si>
    <t>日期</t>
    <phoneticPr fontId="2" type="noConversion"/>
  </si>
  <si>
    <t>当日净资产</t>
    <phoneticPr fontId="2" type="noConversion"/>
  </si>
  <si>
    <t>累计收益额(万元）</t>
    <phoneticPr fontId="2" type="noConversion"/>
  </si>
  <si>
    <t>当日收益率</t>
    <phoneticPr fontId="2" type="noConversion"/>
  </si>
  <si>
    <t>日收益额（万元）</t>
    <phoneticPr fontId="2" type="noConversion"/>
  </si>
  <si>
    <t>持仓市值</t>
    <phoneticPr fontId="2" type="noConversion"/>
  </si>
  <si>
    <t>周累计</t>
    <phoneticPr fontId="2" type="noConversion"/>
  </si>
  <si>
    <t>持仓仓位</t>
    <phoneticPr fontId="2" type="noConversion"/>
  </si>
  <si>
    <t>二级总仓风控线</t>
    <phoneticPr fontId="2" type="noConversion"/>
  </si>
  <si>
    <t>极限总仓风控线</t>
    <phoneticPr fontId="2" type="noConversion"/>
  </si>
  <si>
    <t>周一</t>
    <phoneticPr fontId="2" type="noConversion"/>
  </si>
  <si>
    <t>日收益额（万元）</t>
    <phoneticPr fontId="2" type="noConversion"/>
  </si>
  <si>
    <t>投入资金线</t>
    <phoneticPr fontId="2" type="noConversion"/>
  </si>
  <si>
    <t>日期</t>
    <phoneticPr fontId="2" type="noConversion"/>
  </si>
  <si>
    <t>投入资金(万元）</t>
    <phoneticPr fontId="2" type="noConversion"/>
  </si>
  <si>
    <t>当日收益率</t>
    <phoneticPr fontId="2" type="noConversion"/>
  </si>
  <si>
    <t>日内分控线</t>
    <phoneticPr fontId="2" type="noConversion"/>
  </si>
  <si>
    <t>短差收益明细</t>
    <phoneticPr fontId="2" type="noConversion"/>
  </si>
  <si>
    <t>日期</t>
    <phoneticPr fontId="2" type="noConversion"/>
  </si>
  <si>
    <t>当日净资产</t>
    <phoneticPr fontId="2" type="noConversion"/>
  </si>
  <si>
    <t>投入资金(万元）</t>
    <phoneticPr fontId="2" type="noConversion"/>
  </si>
  <si>
    <t>周累计</t>
    <phoneticPr fontId="2" type="noConversion"/>
  </si>
  <si>
    <t>日内分控线</t>
    <phoneticPr fontId="2" type="noConversion"/>
  </si>
  <si>
    <t>二级总仓风控线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</si>
</sst>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_);[Red]\(0\)"/>
    <numFmt numFmtId="177" formatCode="_ * #,##0_ ;_ * \-#,##0_ ;_ * &quot;-&quot;??_ ;_ @_ "/>
    <numFmt numFmtId="178" formatCode="_ * #,##0.0_ ;_ * \-#,##0.0_ ;_ * &quot;-&quot;??_ ;_ @_ "/>
    <numFmt numFmtId="179" formatCode="0.0%"/>
    <numFmt numFmtId="180" formatCode="yy\/mm\/dd"/>
    <numFmt numFmtId="181" formatCode="_(* #,##0.00_);_(* \(#,##0.00\);_(* &quot;-&quot;??_);_(@_)"/>
    <numFmt numFmtId="182" formatCode="0.00_ "/>
  </numFmts>
  <fonts count="1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宋体"/>
      <family val="2"/>
      <scheme val="minor"/>
    </font>
    <font>
      <sz val="10"/>
      <color theme="0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0"/>
      <color theme="3" tint="0.59999389629810485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4"/>
      <color theme="1"/>
      <name val="宋体"/>
      <family val="2"/>
      <scheme val="minor"/>
    </font>
    <font>
      <sz val="14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4" fillId="0" borderId="0"/>
    <xf numFmtId="0" fontId="5" fillId="0" borderId="0"/>
    <xf numFmtId="0" fontId="1" fillId="0" borderId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81" fontId="3" fillId="0" borderId="0" applyFont="0" applyFill="0" applyBorder="0" applyAlignment="0" applyProtection="0">
      <alignment vertical="center"/>
    </xf>
  </cellStyleXfs>
  <cellXfs count="68">
    <xf numFmtId="0" fontId="0" fillId="0" borderId="0" xfId="0"/>
    <xf numFmtId="180" fontId="6" fillId="0" borderId="0" xfId="4" applyNumberFormat="1" applyFont="1" applyFill="1" applyAlignment="1">
      <alignment horizontal="center" vertical="center"/>
    </xf>
    <xf numFmtId="1" fontId="6" fillId="0" borderId="0" xfId="4" applyNumberFormat="1" applyFont="1" applyFill="1" applyAlignment="1">
      <alignment horizontal="center" vertical="center"/>
    </xf>
    <xf numFmtId="2" fontId="6" fillId="0" borderId="0" xfId="4" applyNumberFormat="1" applyFont="1" applyFill="1"/>
    <xf numFmtId="2" fontId="6" fillId="0" borderId="0" xfId="4" applyNumberFormat="1" applyFont="1" applyFill="1" applyAlignment="1">
      <alignment horizontal="center"/>
    </xf>
    <xf numFmtId="0" fontId="6" fillId="0" borderId="0" xfId="4" applyFont="1" applyFill="1"/>
    <xf numFmtId="9" fontId="6" fillId="0" borderId="0" xfId="6" applyFont="1" applyFill="1" applyAlignment="1"/>
    <xf numFmtId="179" fontId="6" fillId="0" borderId="0" xfId="6" applyNumberFormat="1" applyFont="1" applyFill="1" applyAlignment="1"/>
    <xf numFmtId="0" fontId="6" fillId="0" borderId="0" xfId="4" applyFont="1" applyFill="1" applyAlignment="1">
      <alignment horizontal="center" vertical="center"/>
    </xf>
    <xf numFmtId="0" fontId="3" fillId="0" borderId="0" xfId="4" applyFill="1"/>
    <xf numFmtId="180" fontId="7" fillId="0" borderId="0" xfId="4" applyNumberFormat="1" applyFont="1" applyFill="1" applyAlignment="1">
      <alignment horizontal="center" vertical="center"/>
    </xf>
    <xf numFmtId="1" fontId="7" fillId="0" borderId="0" xfId="4" applyNumberFormat="1" applyFont="1" applyFill="1" applyAlignment="1">
      <alignment horizontal="center" vertical="center"/>
    </xf>
    <xf numFmtId="2" fontId="7" fillId="0" borderId="0" xfId="4" applyNumberFormat="1" applyFont="1" applyFill="1" applyAlignment="1">
      <alignment horizontal="center" vertical="center"/>
    </xf>
    <xf numFmtId="0" fontId="7" fillId="0" borderId="0" xfId="4" applyFont="1" applyFill="1" applyAlignment="1">
      <alignment horizontal="center" vertical="center"/>
    </xf>
    <xf numFmtId="0" fontId="7" fillId="0" borderId="0" xfId="4" applyFont="1" applyFill="1"/>
    <xf numFmtId="179" fontId="7" fillId="0" borderId="0" xfId="6" applyNumberFormat="1" applyFont="1" applyFill="1" applyAlignment="1">
      <alignment horizontal="center" vertical="center"/>
    </xf>
    <xf numFmtId="176" fontId="6" fillId="0" borderId="0" xfId="4" applyNumberFormat="1" applyFont="1" applyFill="1" applyAlignment="1">
      <alignment horizontal="center" vertical="center"/>
    </xf>
    <xf numFmtId="0" fontId="6" fillId="0" borderId="0" xfId="4" applyFont="1" applyFill="1" applyAlignment="1">
      <alignment horizontal="center" vertical="center" wrapText="1"/>
    </xf>
    <xf numFmtId="0" fontId="6" fillId="0" borderId="1" xfId="4" applyFont="1" applyFill="1" applyBorder="1" applyAlignment="1">
      <alignment horizontal="center" vertical="center" wrapText="1"/>
    </xf>
    <xf numFmtId="180" fontId="6" fillId="0" borderId="1" xfId="4" applyNumberFormat="1" applyFont="1" applyFill="1" applyBorder="1" applyAlignment="1">
      <alignment horizontal="center" vertical="center" wrapText="1"/>
    </xf>
    <xf numFmtId="1" fontId="6" fillId="0" borderId="1" xfId="4" applyNumberFormat="1" applyFont="1" applyFill="1" applyBorder="1" applyAlignment="1">
      <alignment horizontal="center" vertical="center" wrapText="1"/>
    </xf>
    <xf numFmtId="2" fontId="6" fillId="0" borderId="1" xfId="4" applyNumberFormat="1" applyFont="1" applyFill="1" applyBorder="1" applyAlignment="1">
      <alignment horizontal="center" vertical="center" wrapText="1"/>
    </xf>
    <xf numFmtId="9" fontId="6" fillId="0" borderId="1" xfId="6" applyFont="1" applyFill="1" applyBorder="1" applyAlignment="1">
      <alignment horizontal="center" vertical="center" wrapText="1"/>
    </xf>
    <xf numFmtId="179" fontId="6" fillId="0" borderId="1" xfId="6" applyNumberFormat="1" applyFont="1" applyFill="1" applyBorder="1" applyAlignment="1">
      <alignment horizontal="center" vertical="center" wrapText="1"/>
    </xf>
    <xf numFmtId="176" fontId="6" fillId="0" borderId="1" xfId="4" applyNumberFormat="1" applyFont="1" applyFill="1" applyBorder="1" applyAlignment="1">
      <alignment horizontal="center" vertical="center" wrapText="1"/>
    </xf>
    <xf numFmtId="176" fontId="8" fillId="0" borderId="1" xfId="4" applyNumberFormat="1" applyFont="1" applyFill="1" applyBorder="1" applyAlignment="1">
      <alignment horizontal="center" vertical="center"/>
    </xf>
    <xf numFmtId="180" fontId="8" fillId="2" borderId="1" xfId="4" applyNumberFormat="1" applyFont="1" applyFill="1" applyBorder="1" applyAlignment="1">
      <alignment horizontal="center" vertical="center"/>
    </xf>
    <xf numFmtId="2" fontId="8" fillId="2" borderId="1" xfId="4" applyNumberFormat="1" applyFont="1" applyFill="1" applyBorder="1" applyAlignment="1">
      <alignment horizontal="center"/>
    </xf>
    <xf numFmtId="10" fontId="9" fillId="2" borderId="1" xfId="4" applyNumberFormat="1" applyFont="1" applyFill="1" applyBorder="1" applyAlignment="1">
      <alignment horizontal="center"/>
    </xf>
    <xf numFmtId="2" fontId="8" fillId="0" borderId="1" xfId="4" applyNumberFormat="1" applyFont="1" applyFill="1" applyBorder="1" applyAlignment="1">
      <alignment horizontal="center"/>
    </xf>
    <xf numFmtId="9" fontId="6" fillId="0" borderId="1" xfId="6" applyFont="1" applyFill="1" applyBorder="1" applyAlignment="1">
      <alignment horizontal="center"/>
    </xf>
    <xf numFmtId="10" fontId="6" fillId="0" borderId="1" xfId="4" applyNumberFormat="1" applyFont="1" applyFill="1" applyBorder="1" applyAlignment="1">
      <alignment horizontal="center"/>
    </xf>
    <xf numFmtId="179" fontId="6" fillId="0" borderId="1" xfId="6" applyNumberFormat="1" applyFont="1" applyFill="1" applyBorder="1" applyAlignment="1">
      <alignment horizontal="center"/>
    </xf>
    <xf numFmtId="9" fontId="6" fillId="0" borderId="1" xfId="4" applyNumberFormat="1" applyFont="1" applyFill="1" applyBorder="1" applyAlignment="1">
      <alignment horizontal="center"/>
    </xf>
    <xf numFmtId="10" fontId="8" fillId="0" borderId="1" xfId="6" applyNumberFormat="1" applyFont="1" applyFill="1" applyBorder="1" applyAlignment="1">
      <alignment horizontal="center" vertical="center"/>
    </xf>
    <xf numFmtId="177" fontId="6" fillId="0" borderId="1" xfId="4" applyNumberFormat="1" applyFont="1" applyFill="1" applyBorder="1" applyAlignment="1">
      <alignment horizontal="center" vertical="center"/>
    </xf>
    <xf numFmtId="9" fontId="6" fillId="0" borderId="1" xfId="4" applyNumberFormat="1" applyFont="1" applyFill="1" applyBorder="1" applyAlignment="1">
      <alignment horizontal="center" vertical="center"/>
    </xf>
    <xf numFmtId="176" fontId="10" fillId="0" borderId="1" xfId="4" applyNumberFormat="1" applyFont="1" applyFill="1" applyBorder="1" applyAlignment="1">
      <alignment horizontal="center" vertical="center"/>
    </xf>
    <xf numFmtId="9" fontId="10" fillId="0" borderId="1" xfId="6" applyFont="1" applyFill="1" applyBorder="1" applyAlignment="1">
      <alignment horizontal="center"/>
    </xf>
    <xf numFmtId="10" fontId="10" fillId="0" borderId="1" xfId="4" applyNumberFormat="1" applyFont="1" applyFill="1" applyBorder="1" applyAlignment="1">
      <alignment horizontal="center"/>
    </xf>
    <xf numFmtId="179" fontId="10" fillId="0" borderId="1" xfId="6" applyNumberFormat="1" applyFont="1" applyFill="1" applyBorder="1" applyAlignment="1">
      <alignment horizontal="center"/>
    </xf>
    <xf numFmtId="9" fontId="10" fillId="0" borderId="1" xfId="4" applyNumberFormat="1" applyFont="1" applyFill="1" applyBorder="1" applyAlignment="1">
      <alignment horizontal="center"/>
    </xf>
    <xf numFmtId="0" fontId="10" fillId="0" borderId="0" xfId="4" applyFont="1" applyFill="1"/>
    <xf numFmtId="10" fontId="10" fillId="0" borderId="1" xfId="6" applyNumberFormat="1" applyFont="1" applyFill="1" applyBorder="1" applyAlignment="1">
      <alignment horizontal="center" vertical="center"/>
    </xf>
    <xf numFmtId="177" fontId="10" fillId="0" borderId="1" xfId="4" applyNumberFormat="1" applyFont="1" applyFill="1" applyBorder="1" applyAlignment="1">
      <alignment horizontal="center" vertical="center"/>
    </xf>
    <xf numFmtId="9" fontId="10" fillId="0" borderId="1" xfId="4" applyNumberFormat="1" applyFont="1" applyFill="1" applyBorder="1" applyAlignment="1">
      <alignment horizontal="center" vertical="center"/>
    </xf>
    <xf numFmtId="176" fontId="8" fillId="0" borderId="0" xfId="4" applyNumberFormat="1" applyFont="1" applyFill="1" applyAlignment="1">
      <alignment horizontal="center" vertical="center"/>
    </xf>
    <xf numFmtId="1" fontId="8" fillId="0" borderId="0" xfId="4" applyNumberFormat="1" applyFont="1" applyFill="1" applyAlignment="1">
      <alignment horizontal="center" vertical="center"/>
    </xf>
    <xf numFmtId="1" fontId="6" fillId="0" borderId="0" xfId="4" applyNumberFormat="1" applyFont="1" applyFill="1"/>
    <xf numFmtId="0" fontId="13" fillId="0" borderId="0" xfId="0" applyFont="1" applyAlignment="1">
      <alignment horizontal="center" vertical="center"/>
    </xf>
    <xf numFmtId="0" fontId="13" fillId="0" borderId="0" xfId="0" applyFont="1"/>
    <xf numFmtId="0" fontId="0" fillId="0" borderId="0" xfId="0" applyAlignment="1">
      <alignment horizontal="center" vertical="center"/>
    </xf>
    <xf numFmtId="177" fontId="6" fillId="0" borderId="0" xfId="7" applyNumberFormat="1" applyFont="1" applyFill="1" applyAlignment="1">
      <alignment horizontal="right"/>
    </xf>
    <xf numFmtId="182" fontId="6" fillId="0" borderId="0" xfId="4" applyNumberFormat="1" applyFont="1" applyFill="1" applyAlignment="1">
      <alignment horizontal="center" vertical="center"/>
    </xf>
    <xf numFmtId="182" fontId="7" fillId="0" borderId="0" xfId="4" applyNumberFormat="1" applyFont="1" applyFill="1" applyAlignment="1">
      <alignment horizontal="center" vertical="center"/>
    </xf>
    <xf numFmtId="2" fontId="6" fillId="0" borderId="1" xfId="7" applyNumberFormat="1" applyFont="1" applyFill="1" applyBorder="1" applyAlignment="1">
      <alignment horizontal="center" vertical="center" wrapText="1"/>
    </xf>
    <xf numFmtId="177" fontId="6" fillId="0" borderId="1" xfId="7" applyNumberFormat="1" applyFont="1" applyFill="1" applyBorder="1" applyAlignment="1">
      <alignment horizontal="center" vertical="center" wrapText="1"/>
    </xf>
    <xf numFmtId="181" fontId="6" fillId="0" borderId="1" xfId="7" applyFont="1" applyFill="1" applyBorder="1" applyAlignment="1">
      <alignment horizontal="center" vertical="center" wrapText="1"/>
    </xf>
    <xf numFmtId="182" fontId="6" fillId="0" borderId="1" xfId="4" applyNumberFormat="1" applyFont="1" applyFill="1" applyBorder="1" applyAlignment="1">
      <alignment horizontal="center" vertical="center" wrapText="1"/>
    </xf>
    <xf numFmtId="177" fontId="10" fillId="0" borderId="1" xfId="7" applyNumberFormat="1" applyFont="1" applyFill="1" applyBorder="1" applyAlignment="1">
      <alignment horizontal="center"/>
    </xf>
    <xf numFmtId="178" fontId="8" fillId="0" borderId="1" xfId="7" applyNumberFormat="1" applyFont="1" applyFill="1" applyBorder="1" applyAlignment="1">
      <alignment horizontal="center" vertical="center"/>
    </xf>
    <xf numFmtId="178" fontId="6" fillId="0" borderId="1" xfId="7" applyNumberFormat="1" applyFont="1" applyFill="1" applyBorder="1" applyAlignment="1">
      <alignment horizontal="center" vertical="center"/>
    </xf>
    <xf numFmtId="182" fontId="6" fillId="0" borderId="1" xfId="4" applyNumberFormat="1" applyFont="1" applyFill="1" applyBorder="1" applyAlignment="1">
      <alignment horizontal="center" vertical="center"/>
    </xf>
    <xf numFmtId="178" fontId="10" fillId="0" borderId="1" xfId="7" applyNumberFormat="1" applyFont="1" applyFill="1" applyBorder="1" applyAlignment="1">
      <alignment horizontal="center" vertical="center"/>
    </xf>
    <xf numFmtId="177" fontId="6" fillId="0" borderId="0" xfId="7" applyNumberFormat="1" applyFont="1" applyFill="1" applyAlignment="1"/>
    <xf numFmtId="182" fontId="6" fillId="0" borderId="0" xfId="4" applyNumberFormat="1" applyFont="1" applyFill="1"/>
    <xf numFmtId="0" fontId="11" fillId="0" borderId="2" xfId="4" applyFont="1" applyFill="1" applyBorder="1" applyAlignment="1">
      <alignment horizontal="center" vertical="center"/>
    </xf>
    <xf numFmtId="0" fontId="12" fillId="0" borderId="2" xfId="4" applyFont="1" applyFill="1" applyBorder="1" applyAlignment="1">
      <alignment horizontal="center" vertical="center"/>
    </xf>
  </cellXfs>
  <cellStyles count="8">
    <cellStyle name="百分比 3" xfId="6"/>
    <cellStyle name="常规" xfId="0" builtinId="0"/>
    <cellStyle name="常规 2" xfId="1"/>
    <cellStyle name="常规 3" xfId="2"/>
    <cellStyle name="常规 4" xfId="3"/>
    <cellStyle name="常规 4 2" xfId="4"/>
    <cellStyle name="千位分隔 3" xfId="5"/>
    <cellStyle name="千位分隔 3 2" xfId="7"/>
  </cellStyles>
  <dxfs count="0"/>
  <tableStyles count="0" defaultTableStyle="TableStyleMedium2" defaultPivotStyle="PivotStyleMedium9"/>
  <colors>
    <mruColors>
      <color rgb="FFF692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合计收益表（近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Subject!$V$33</c:f>
              <c:strCache>
                <c:ptCount val="1"/>
                <c:pt idx="0">
                  <c:v>持仓市值(单位:10万元)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Subject!$V$34:$V$65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Subject!$Q$33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Subject!$Q$34:$Q$65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-1021911472"/>
        <c:axId val="-1021909296"/>
      </c:barChart>
      <c:lineChart>
        <c:grouping val="standard"/>
        <c:varyColors val="0"/>
        <c:ser>
          <c:idx val="0"/>
          <c:order val="0"/>
          <c:tx>
            <c:strRef>
              <c:f>Subject!$S$33</c:f>
              <c:strCache>
                <c:ptCount val="1"/>
                <c:pt idx="0">
                  <c:v>投入资产(单位:10万元)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Subject!$S$34:$S$65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Subject!$J$33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Subject!$J$34:$J$65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Subject!$G$33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Subject!$G$34:$G$65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Subject!$E$33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Subject!$E$34:$E$65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Subject!$R$33</c:f>
              <c:strCache>
                <c:ptCount val="1"/>
                <c:pt idx="0">
                  <c:v>净资产(单位:10万元)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Subject!$R$34:$R$65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21911472"/>
        <c:axId val="-1021909296"/>
      </c:lineChart>
      <c:lineChart>
        <c:grouping val="standard"/>
        <c:varyColors val="0"/>
        <c:ser>
          <c:idx val="5"/>
          <c:order val="4"/>
          <c:tx>
            <c:strRef>
              <c:f>Subject!$H$33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Subject!$H$34:$H$65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Subject!$Y$33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Subject!$Y$34:$Y$65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Subject!$M$33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Subject!$M$34:$M$65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Subject!$F$33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Subject!$F$34:$F$65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21921808"/>
        <c:axId val="-1021922352"/>
      </c:lineChart>
      <c:catAx>
        <c:axId val="-1021911472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-1021909296"/>
        <c:crosses val="autoZero"/>
        <c:auto val="0"/>
        <c:lblAlgn val="ctr"/>
        <c:lblOffset val="100"/>
        <c:noMultiLvlLbl val="0"/>
      </c:catAx>
      <c:valAx>
        <c:axId val="-10219092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-1021911472"/>
        <c:crosses val="autoZero"/>
        <c:crossBetween val="between"/>
      </c:valAx>
      <c:valAx>
        <c:axId val="-1021922352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-1021921808"/>
        <c:crosses val="max"/>
        <c:crossBetween val="between"/>
      </c:valAx>
      <c:catAx>
        <c:axId val="-1021921808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-1021922352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目标收益表（近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Subject!$V$69</c:f>
              <c:strCache>
                <c:ptCount val="1"/>
                <c:pt idx="0">
                  <c:v>持仓市值(单位:万元)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Subject!$V$70:$V$101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Subject!$Q$69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Subject!$Q$70:$Q$101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-1021910928"/>
        <c:axId val="-1021914192"/>
      </c:barChart>
      <c:lineChart>
        <c:grouping val="standard"/>
        <c:varyColors val="0"/>
        <c:ser>
          <c:idx val="0"/>
          <c:order val="0"/>
          <c:tx>
            <c:strRef>
              <c:f>Subject!$S$69</c:f>
              <c:strCache>
                <c:ptCount val="1"/>
                <c:pt idx="0">
                  <c:v>投入资产(单位:万元)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Subject!$S$70:$S$101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Subject!$J$69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Subject!$J$70:$J$101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Subject!$G$69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Subject!$G$70:$G$101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Subject!$E$69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Subject!$E$70:$E$101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Subject!$R$69</c:f>
              <c:strCache>
                <c:ptCount val="1"/>
                <c:pt idx="0">
                  <c:v>净资产(单位:万元)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Subject!$R$70:$R$101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21910928"/>
        <c:axId val="-1021914192"/>
      </c:lineChart>
      <c:lineChart>
        <c:grouping val="standard"/>
        <c:varyColors val="0"/>
        <c:ser>
          <c:idx val="5"/>
          <c:order val="4"/>
          <c:tx>
            <c:strRef>
              <c:f>Subject!$H$69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Subject!$H$70:$H$101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Subject!$Y$69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Subject!$Y$70:$Y$101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Subject!$M$69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Subject!$M$70:$M$101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Subject!$F$69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Subject!$F$70:$F$101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21920176"/>
        <c:axId val="-1021913104"/>
      </c:lineChart>
      <c:catAx>
        <c:axId val="-1021910928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-1021914192"/>
        <c:crosses val="autoZero"/>
        <c:auto val="0"/>
        <c:lblAlgn val="ctr"/>
        <c:lblOffset val="100"/>
        <c:noMultiLvlLbl val="0"/>
      </c:catAx>
      <c:valAx>
        <c:axId val="-10219141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-1021910928"/>
        <c:crosses val="autoZero"/>
        <c:crossBetween val="between"/>
      </c:valAx>
      <c:valAx>
        <c:axId val="-1021913104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-1021920176"/>
        <c:crosses val="max"/>
        <c:crossBetween val="between"/>
      </c:valAx>
      <c:catAx>
        <c:axId val="-1021920176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-1021913104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波段收益表（近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Subject!$V$105</c:f>
              <c:strCache>
                <c:ptCount val="1"/>
                <c:pt idx="0">
                  <c:v>持仓市值(单位:万元)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Subject!$V$106:$V$137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Subject!$Q$105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Subject!$Q$106:$Q$137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-1021916368"/>
        <c:axId val="-1137415280"/>
      </c:barChart>
      <c:lineChart>
        <c:grouping val="standard"/>
        <c:varyColors val="0"/>
        <c:ser>
          <c:idx val="0"/>
          <c:order val="0"/>
          <c:tx>
            <c:strRef>
              <c:f>Subject!$S$105</c:f>
              <c:strCache>
                <c:ptCount val="1"/>
                <c:pt idx="0">
                  <c:v>投入资产(单位:万元)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Subject!$S$106:$S$137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Subject!$J$105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Subject!$J$106:$J$137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Subject!$G$105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Subject!$G$106:$G$137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Subject!$E$105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Subject!$E$106:$E$137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Subject!$R$105</c:f>
              <c:strCache>
                <c:ptCount val="1"/>
                <c:pt idx="0">
                  <c:v>净资产(单位:万元)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Subject!$R$106:$R$137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21916368"/>
        <c:axId val="-1137415280"/>
      </c:lineChart>
      <c:lineChart>
        <c:grouping val="standard"/>
        <c:varyColors val="0"/>
        <c:ser>
          <c:idx val="5"/>
          <c:order val="4"/>
          <c:tx>
            <c:strRef>
              <c:f>Subject!$H$105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Subject!$H$106:$H$137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Subject!$Y$105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Subject!$Y$106:$Y$137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Subject!$M$105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Subject!$M$106:$M$137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Subject!$F$105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Subject!$F$106:$F$137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16372480"/>
        <c:axId val="-1137409296"/>
      </c:lineChart>
      <c:catAx>
        <c:axId val="-1021916368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-1137415280"/>
        <c:crosses val="autoZero"/>
        <c:auto val="0"/>
        <c:lblAlgn val="ctr"/>
        <c:lblOffset val="100"/>
        <c:noMultiLvlLbl val="0"/>
      </c:catAx>
      <c:valAx>
        <c:axId val="-11374152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-1021916368"/>
        <c:crosses val="autoZero"/>
        <c:crossBetween val="between"/>
      </c:valAx>
      <c:valAx>
        <c:axId val="-1137409296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-1016372480"/>
        <c:crosses val="max"/>
        <c:crossBetween val="between"/>
      </c:valAx>
      <c:catAx>
        <c:axId val="-1016372480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-1137409296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短差收益表（近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Subject!$V$141</c:f>
              <c:strCache>
                <c:ptCount val="1"/>
                <c:pt idx="0">
                  <c:v>持仓市值(单位:万元)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Subject!$V$142:$V$173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Subject!$Q$141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Subject!$Q$142:$Q$173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-1016375744"/>
        <c:axId val="-1016373024"/>
      </c:barChart>
      <c:lineChart>
        <c:grouping val="standard"/>
        <c:varyColors val="0"/>
        <c:ser>
          <c:idx val="0"/>
          <c:order val="0"/>
          <c:tx>
            <c:strRef>
              <c:f>Subject!$S$141</c:f>
              <c:strCache>
                <c:ptCount val="1"/>
                <c:pt idx="0">
                  <c:v>投入资产(单位:万元)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Subject!$S$142:$S$173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Subject!$J$141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Subject!$J$142:$J$173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Subject!$G$141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Subject!$G$142:$G$173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Subject!$E$141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Subject!$E$142:$E$173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Subject!$R$141</c:f>
              <c:strCache>
                <c:ptCount val="1"/>
                <c:pt idx="0">
                  <c:v>净资产(单位:万元)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Subject!$R$142:$R$173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16375744"/>
        <c:axId val="-1016373024"/>
      </c:lineChart>
      <c:lineChart>
        <c:grouping val="standard"/>
        <c:varyColors val="0"/>
        <c:ser>
          <c:idx val="5"/>
          <c:order val="4"/>
          <c:tx>
            <c:strRef>
              <c:f>Subject!$H$141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Subject!$H$142:$H$173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Subject!$Y$141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Subject!$Y$142:$Y$173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Subject!$M$141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Subject!$M$142:$M$173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Subject!$F$141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Subject!$F$142:$F$173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16383904"/>
        <c:axId val="-1016374112"/>
      </c:lineChart>
      <c:catAx>
        <c:axId val="-1016375744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-1016373024"/>
        <c:crosses val="autoZero"/>
        <c:auto val="0"/>
        <c:lblAlgn val="ctr"/>
        <c:lblOffset val="100"/>
        <c:noMultiLvlLbl val="0"/>
      </c:catAx>
      <c:valAx>
        <c:axId val="-10163730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-1016375744"/>
        <c:crosses val="autoZero"/>
        <c:crossBetween val="between"/>
      </c:valAx>
      <c:valAx>
        <c:axId val="-1016374112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-1016383904"/>
        <c:crosses val="max"/>
        <c:crossBetween val="between"/>
      </c:valAx>
      <c:catAx>
        <c:axId val="-1016383904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-1016374112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15</xdr:col>
      <xdr:colOff>0</xdr:colOff>
      <xdr:row>31</xdr:row>
      <xdr:rowOff>190501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28</xdr:col>
      <xdr:colOff>342900</xdr:colOff>
      <xdr:row>31</xdr:row>
      <xdr:rowOff>171451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0</xdr:row>
      <xdr:rowOff>0</xdr:rowOff>
    </xdr:from>
    <xdr:to>
      <xdr:col>42</xdr:col>
      <xdr:colOff>171450</xdr:colOff>
      <xdr:row>31</xdr:row>
      <xdr:rowOff>171451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447675</xdr:colOff>
      <xdr:row>0</xdr:row>
      <xdr:rowOff>0</xdr:rowOff>
    </xdr:from>
    <xdr:to>
      <xdr:col>55</xdr:col>
      <xdr:colOff>619125</xdr:colOff>
      <xdr:row>31</xdr:row>
      <xdr:rowOff>171451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3"/>
  <sheetViews>
    <sheetView view="pageBreakPreview" zoomScaleNormal="85" zoomScaleSheetLayoutView="100" workbookViewId="0">
      <selection activeCell="S30" sqref="S30"/>
    </sheetView>
  </sheetViews>
  <sheetFormatPr defaultRowHeight="13.5" x14ac:dyDescent="0.15"/>
  <cols>
    <col min="1" max="1" width="1.625" style="51" customWidth="1"/>
  </cols>
  <sheetData>
    <row r="13" spans="1:1" s="50" customFormat="1" x14ac:dyDescent="0.15">
      <c r="A13" s="49"/>
    </row>
  </sheetData>
  <phoneticPr fontId="2" type="noConversion"/>
  <pageMargins left="0.53" right="0.49" top="0.52" bottom="0.48" header="0.3" footer="0.3"/>
  <pageSetup paperSize="9" scale="9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Z173"/>
  <sheetViews>
    <sheetView tabSelected="1" zoomScaleNormal="100" workbookViewId="0">
      <selection activeCell="AA1" sqref="AA1:AA1048576"/>
    </sheetView>
  </sheetViews>
  <sheetFormatPr defaultColWidth="9" defaultRowHeight="12" outlineLevelCol="1" x14ac:dyDescent="0.15"/>
  <cols>
    <col min="1" max="1" width="4.75" style="5" customWidth="1"/>
    <col min="2" max="2" width="8.25" style="1" customWidth="1"/>
    <col min="3" max="3" width="7.625" style="2" bestFit="1" customWidth="1"/>
    <col min="4" max="4" width="9" style="3" customWidth="1"/>
    <col min="5" max="5" width="9.375" style="3" customWidth="1"/>
    <col min="6" max="6" width="6.75" style="5" customWidth="1"/>
    <col min="7" max="7" width="8.625" style="3" customWidth="1"/>
    <col min="8" max="8" width="8.5" style="5" bestFit="1" customWidth="1"/>
    <col min="9" max="9" width="8" style="5" customWidth="1"/>
    <col min="10" max="10" width="8.875" style="5" customWidth="1"/>
    <col min="11" max="11" width="9.25" style="64" customWidth="1"/>
    <col min="12" max="12" width="7" style="6" customWidth="1"/>
    <col min="13" max="13" width="7.25" style="5" customWidth="1"/>
    <col min="14" max="14" width="7.125" style="7" customWidth="1"/>
    <col min="15" max="15" width="9" style="5"/>
    <col min="16" max="16" width="3.75" style="5" customWidth="1"/>
    <col min="17" max="17" width="7.25" style="8" customWidth="1" outlineLevel="1"/>
    <col min="18" max="22" width="9.375" style="8" customWidth="1" outlineLevel="1"/>
    <col min="23" max="23" width="9.375" style="53" customWidth="1" outlineLevel="1"/>
    <col min="24" max="24" width="9.375" style="8" customWidth="1" outlineLevel="1"/>
    <col min="25" max="25" width="5.875" style="8" customWidth="1" outlineLevel="1"/>
    <col min="26" max="16384" width="9" style="5"/>
  </cols>
  <sheetData>
    <row r="2" spans="2:25" s="6" customFormat="1" x14ac:dyDescent="0.15">
      <c r="B2" s="1"/>
      <c r="C2" s="2"/>
      <c r="D2" s="3"/>
      <c r="E2" s="4"/>
      <c r="F2" s="5"/>
      <c r="G2" s="3"/>
      <c r="H2" s="5"/>
      <c r="I2" s="5"/>
      <c r="J2" s="5"/>
      <c r="K2" s="52"/>
      <c r="M2" s="5"/>
      <c r="N2" s="7"/>
      <c r="O2" s="5"/>
      <c r="P2" s="5"/>
      <c r="Q2" s="8"/>
      <c r="R2" s="8"/>
      <c r="S2" s="8"/>
      <c r="T2" s="8"/>
      <c r="U2" s="8"/>
      <c r="V2" s="8"/>
      <c r="W2" s="53"/>
      <c r="X2" s="8"/>
      <c r="Y2" s="8"/>
    </row>
    <row r="3" spans="2:25" s="6" customFormat="1" x14ac:dyDescent="0.15">
      <c r="B3" s="1"/>
      <c r="C3" s="2"/>
      <c r="D3" s="3"/>
      <c r="E3" s="4"/>
      <c r="F3" s="5"/>
      <c r="G3" s="3"/>
      <c r="H3" s="5"/>
      <c r="I3" s="5"/>
      <c r="J3" s="5"/>
      <c r="K3" s="52"/>
      <c r="M3" s="5"/>
      <c r="N3" s="7"/>
      <c r="O3" s="5"/>
      <c r="P3" s="5"/>
      <c r="Q3" s="8"/>
      <c r="R3" s="8"/>
      <c r="S3" s="8"/>
      <c r="T3" s="8"/>
      <c r="U3" s="8"/>
      <c r="V3" s="8"/>
      <c r="W3" s="53"/>
      <c r="X3" s="8"/>
      <c r="Y3" s="8"/>
    </row>
    <row r="4" spans="2:25" s="6" customFormat="1" x14ac:dyDescent="0.15">
      <c r="B4" s="1"/>
      <c r="C4" s="2"/>
      <c r="D4" s="3"/>
      <c r="E4" s="4"/>
      <c r="F4" s="5"/>
      <c r="G4" s="3"/>
      <c r="H4" s="5"/>
      <c r="I4" s="5"/>
      <c r="J4" s="5"/>
      <c r="K4" s="52"/>
      <c r="M4" s="5"/>
      <c r="N4" s="7"/>
      <c r="O4" s="5"/>
      <c r="P4" s="5"/>
      <c r="Q4" s="8"/>
      <c r="R4" s="8"/>
      <c r="S4" s="8"/>
      <c r="T4" s="8"/>
      <c r="U4" s="8"/>
      <c r="V4" s="8"/>
      <c r="W4" s="53"/>
      <c r="X4" s="8"/>
      <c r="Y4" s="8"/>
    </row>
    <row r="5" spans="2:25" s="6" customFormat="1" x14ac:dyDescent="0.15">
      <c r="B5" s="1"/>
      <c r="C5" s="2"/>
      <c r="D5" s="3"/>
      <c r="E5" s="4"/>
      <c r="F5" s="5"/>
      <c r="G5" s="3"/>
      <c r="H5" s="5"/>
      <c r="I5" s="5"/>
      <c r="J5" s="5"/>
      <c r="K5" s="52"/>
      <c r="M5" s="5"/>
      <c r="N5" s="7"/>
      <c r="O5" s="5"/>
      <c r="P5" s="5"/>
      <c r="Q5" s="8"/>
      <c r="R5" s="8"/>
      <c r="S5" s="8"/>
      <c r="T5" s="8"/>
      <c r="U5" s="8"/>
      <c r="V5" s="8"/>
      <c r="W5" s="53"/>
      <c r="X5" s="8"/>
      <c r="Y5" s="8"/>
    </row>
    <row r="6" spans="2:25" s="6" customFormat="1" x14ac:dyDescent="0.15">
      <c r="B6" s="1"/>
      <c r="C6" s="2"/>
      <c r="D6" s="3"/>
      <c r="E6" s="4"/>
      <c r="F6" s="5"/>
      <c r="G6" s="3"/>
      <c r="H6" s="5"/>
      <c r="I6" s="5"/>
      <c r="J6" s="5"/>
      <c r="K6" s="52"/>
      <c r="M6" s="5"/>
      <c r="N6" s="7"/>
      <c r="O6" s="5"/>
      <c r="P6" s="5"/>
      <c r="Q6" s="8"/>
      <c r="R6" s="8"/>
      <c r="S6" s="8"/>
      <c r="T6" s="8"/>
      <c r="U6" s="8"/>
      <c r="V6" s="8"/>
      <c r="W6" s="53"/>
      <c r="X6" s="8"/>
      <c r="Y6" s="8"/>
    </row>
    <row r="7" spans="2:25" s="6" customFormat="1" x14ac:dyDescent="0.15">
      <c r="B7" s="1"/>
      <c r="C7" s="2"/>
      <c r="D7" s="3"/>
      <c r="E7" s="4"/>
      <c r="F7" s="5"/>
      <c r="G7" s="3"/>
      <c r="H7" s="5"/>
      <c r="I7" s="5"/>
      <c r="J7" s="5"/>
      <c r="K7" s="52"/>
      <c r="M7" s="5"/>
      <c r="N7" s="7"/>
      <c r="O7" s="5"/>
      <c r="P7" s="5"/>
      <c r="Q7" s="8"/>
      <c r="R7" s="8"/>
      <c r="S7" s="8"/>
      <c r="T7" s="8"/>
      <c r="U7" s="8"/>
      <c r="V7" s="8"/>
      <c r="W7" s="53"/>
      <c r="X7" s="8"/>
      <c r="Y7" s="8"/>
    </row>
    <row r="8" spans="2:25" s="6" customFormat="1" x14ac:dyDescent="0.15">
      <c r="B8" s="1"/>
      <c r="C8" s="2"/>
      <c r="D8" s="3"/>
      <c r="E8" s="4"/>
      <c r="F8" s="5"/>
      <c r="G8" s="3"/>
      <c r="H8" s="5"/>
      <c r="I8" s="5"/>
      <c r="J8" s="5"/>
      <c r="K8" s="52"/>
      <c r="M8" s="5"/>
      <c r="N8" s="7"/>
      <c r="O8" s="5"/>
      <c r="P8" s="5"/>
      <c r="Q8" s="8"/>
      <c r="R8" s="8"/>
      <c r="S8" s="8"/>
      <c r="T8" s="8"/>
      <c r="U8" s="8"/>
      <c r="V8" s="8"/>
      <c r="W8" s="53"/>
      <c r="X8" s="8"/>
      <c r="Y8" s="8"/>
    </row>
    <row r="9" spans="2:25" s="6" customFormat="1" x14ac:dyDescent="0.15">
      <c r="B9" s="1"/>
      <c r="C9" s="2"/>
      <c r="D9" s="3"/>
      <c r="E9" s="4"/>
      <c r="F9" s="5"/>
      <c r="G9" s="3"/>
      <c r="H9" s="5"/>
      <c r="I9" s="5"/>
      <c r="J9" s="5"/>
      <c r="K9" s="52"/>
      <c r="M9" s="5"/>
      <c r="N9" s="7"/>
      <c r="O9" s="5"/>
      <c r="P9" s="5"/>
      <c r="Q9" s="8"/>
      <c r="R9" s="8"/>
      <c r="S9" s="8"/>
      <c r="T9" s="8"/>
      <c r="U9" s="8"/>
      <c r="V9" s="8"/>
      <c r="W9" s="53"/>
      <c r="X9" s="8"/>
      <c r="Y9" s="8"/>
    </row>
    <row r="10" spans="2:25" s="6" customFormat="1" x14ac:dyDescent="0.15">
      <c r="B10" s="1"/>
      <c r="C10" s="2"/>
      <c r="D10" s="3"/>
      <c r="E10" s="4"/>
      <c r="F10" s="5"/>
      <c r="G10" s="3"/>
      <c r="H10" s="5"/>
      <c r="I10" s="5"/>
      <c r="J10" s="5"/>
      <c r="K10" s="52"/>
      <c r="M10" s="5"/>
      <c r="N10" s="7"/>
      <c r="O10" s="5"/>
      <c r="P10" s="5"/>
      <c r="Q10" s="8"/>
      <c r="R10" s="8"/>
      <c r="S10" s="8"/>
      <c r="T10" s="8"/>
      <c r="U10" s="8"/>
      <c r="V10" s="8"/>
      <c r="W10" s="53"/>
      <c r="X10" s="8"/>
      <c r="Y10" s="8"/>
    </row>
    <row r="11" spans="2:25" s="6" customFormat="1" x14ac:dyDescent="0.15">
      <c r="B11" s="1"/>
      <c r="C11" s="2"/>
      <c r="D11" s="3"/>
      <c r="E11" s="4"/>
      <c r="F11" s="5"/>
      <c r="G11" s="3"/>
      <c r="H11" s="5"/>
      <c r="I11" s="5"/>
      <c r="J11" s="5"/>
      <c r="K11" s="52"/>
      <c r="M11" s="5"/>
      <c r="N11" s="7"/>
      <c r="O11" s="5"/>
      <c r="P11" s="5"/>
      <c r="Q11" s="8"/>
      <c r="R11" s="8"/>
      <c r="S11" s="8"/>
      <c r="T11" s="8"/>
      <c r="U11" s="8"/>
      <c r="V11" s="8"/>
      <c r="W11" s="53"/>
      <c r="X11" s="8"/>
      <c r="Y11" s="8"/>
    </row>
    <row r="12" spans="2:25" s="6" customFormat="1" x14ac:dyDescent="0.15">
      <c r="B12" s="1"/>
      <c r="C12" s="2"/>
      <c r="D12" s="3"/>
      <c r="E12" s="4"/>
      <c r="F12" s="5"/>
      <c r="G12" s="3"/>
      <c r="H12" s="5"/>
      <c r="I12" s="5"/>
      <c r="J12" s="5"/>
      <c r="K12" s="52"/>
      <c r="M12" s="5"/>
      <c r="N12" s="7"/>
      <c r="O12" s="5"/>
      <c r="P12" s="5"/>
      <c r="Q12" s="8"/>
      <c r="R12" s="8"/>
      <c r="S12" s="8"/>
      <c r="T12" s="8"/>
      <c r="U12" s="8"/>
      <c r="V12" s="8"/>
      <c r="W12" s="53"/>
      <c r="X12" s="8"/>
      <c r="Y12" s="8"/>
    </row>
    <row r="13" spans="2:25" s="6" customFormat="1" x14ac:dyDescent="0.15">
      <c r="B13" s="1"/>
      <c r="C13" s="2"/>
      <c r="D13" s="3"/>
      <c r="E13" s="4"/>
      <c r="F13" s="5"/>
      <c r="G13" s="3"/>
      <c r="H13" s="5"/>
      <c r="I13" s="5"/>
      <c r="J13" s="5"/>
      <c r="K13" s="52"/>
      <c r="M13" s="5"/>
      <c r="N13" s="7"/>
      <c r="O13" s="5"/>
      <c r="P13" s="5"/>
      <c r="Q13" s="8"/>
      <c r="R13" s="8"/>
      <c r="S13" s="8"/>
      <c r="T13" s="8"/>
      <c r="U13" s="8"/>
      <c r="V13" s="8"/>
      <c r="W13" s="53"/>
      <c r="X13" s="8"/>
      <c r="Y13" s="8"/>
    </row>
    <row r="14" spans="2:25" s="6" customFormat="1" x14ac:dyDescent="0.15">
      <c r="B14" s="1"/>
      <c r="C14" s="2"/>
      <c r="D14" s="3"/>
      <c r="E14" s="4"/>
      <c r="F14" s="5"/>
      <c r="G14" s="3"/>
      <c r="H14" s="5"/>
      <c r="I14" s="5"/>
      <c r="J14" s="5"/>
      <c r="K14" s="52"/>
      <c r="M14" s="5"/>
      <c r="N14" s="7"/>
      <c r="O14" s="5"/>
      <c r="P14" s="5"/>
      <c r="Q14" s="8"/>
      <c r="R14" s="8"/>
      <c r="S14" s="8"/>
      <c r="T14" s="8"/>
      <c r="U14" s="8"/>
      <c r="V14" s="8"/>
      <c r="W14" s="53"/>
      <c r="X14" s="8"/>
      <c r="Y14" s="8"/>
    </row>
    <row r="15" spans="2:25" s="6" customFormat="1" x14ac:dyDescent="0.15">
      <c r="B15" s="1"/>
      <c r="C15" s="2"/>
      <c r="D15" s="3"/>
      <c r="E15" s="4"/>
      <c r="F15" s="5"/>
      <c r="G15" s="3"/>
      <c r="H15" s="5"/>
      <c r="I15" s="5"/>
      <c r="J15" s="5"/>
      <c r="K15" s="52"/>
      <c r="M15" s="5"/>
      <c r="N15" s="7"/>
      <c r="O15" s="5"/>
      <c r="P15" s="5"/>
      <c r="Q15" s="8"/>
      <c r="R15" s="8"/>
      <c r="S15" s="8"/>
      <c r="T15" s="8"/>
      <c r="U15" s="8"/>
      <c r="V15" s="8"/>
      <c r="W15" s="53"/>
      <c r="X15" s="8"/>
      <c r="Y15" s="8"/>
    </row>
    <row r="16" spans="2:25" s="6" customFormat="1" x14ac:dyDescent="0.15">
      <c r="B16" s="1"/>
      <c r="C16" s="2"/>
      <c r="D16" s="3"/>
      <c r="E16" s="4"/>
      <c r="F16" s="5"/>
      <c r="G16" s="3"/>
      <c r="H16" s="5"/>
      <c r="I16" s="5"/>
      <c r="J16" s="5"/>
      <c r="K16" s="52"/>
      <c r="M16" s="5"/>
      <c r="N16" s="7"/>
      <c r="O16" s="5"/>
      <c r="P16" s="5"/>
      <c r="Q16" s="8"/>
      <c r="R16" s="8"/>
      <c r="S16" s="8"/>
      <c r="T16" s="8"/>
      <c r="U16" s="8"/>
      <c r="V16" s="8"/>
      <c r="W16" s="53"/>
      <c r="X16" s="8"/>
      <c r="Y16" s="8"/>
    </row>
    <row r="17" spans="2:25" s="9" customFormat="1" ht="13.5" x14ac:dyDescent="0.15">
      <c r="B17" s="1"/>
      <c r="C17" s="2"/>
      <c r="D17" s="3"/>
      <c r="E17" s="4"/>
      <c r="F17" s="5"/>
      <c r="G17" s="3"/>
      <c r="H17" s="5"/>
      <c r="I17" s="5"/>
      <c r="J17" s="5"/>
      <c r="K17" s="52"/>
      <c r="L17" s="6"/>
      <c r="M17" s="5"/>
      <c r="N17" s="7"/>
      <c r="O17" s="5"/>
      <c r="P17" s="5"/>
      <c r="Q17" s="8"/>
      <c r="R17" s="8"/>
      <c r="S17" s="8"/>
      <c r="T17" s="8"/>
      <c r="U17" s="8"/>
      <c r="V17" s="8"/>
      <c r="W17" s="53"/>
      <c r="X17" s="8"/>
      <c r="Y17" s="8"/>
    </row>
    <row r="18" spans="2:25" s="9" customFormat="1" ht="13.5" x14ac:dyDescent="0.15">
      <c r="B18" s="1"/>
      <c r="C18" s="2"/>
      <c r="D18" s="3"/>
      <c r="E18" s="4"/>
      <c r="F18" s="5"/>
      <c r="G18" s="3"/>
      <c r="H18" s="5"/>
      <c r="I18" s="5"/>
      <c r="J18" s="5"/>
      <c r="K18" s="52"/>
      <c r="L18" s="6"/>
      <c r="M18" s="5"/>
      <c r="N18" s="7"/>
      <c r="O18" s="5"/>
      <c r="P18" s="5"/>
      <c r="Q18" s="8"/>
      <c r="R18" s="8"/>
      <c r="S18" s="8"/>
      <c r="T18" s="8"/>
      <c r="U18" s="8"/>
      <c r="V18" s="8"/>
      <c r="W18" s="53"/>
      <c r="X18" s="8"/>
      <c r="Y18" s="8"/>
    </row>
    <row r="19" spans="2:25" s="9" customFormat="1" ht="13.5" x14ac:dyDescent="0.15">
      <c r="B19" s="1"/>
      <c r="C19" s="2"/>
      <c r="D19" s="3"/>
      <c r="E19" s="4"/>
      <c r="F19" s="5"/>
      <c r="G19" s="3"/>
      <c r="H19" s="5"/>
      <c r="I19" s="5"/>
      <c r="J19" s="5"/>
      <c r="K19" s="52"/>
      <c r="L19" s="6"/>
      <c r="M19" s="5"/>
      <c r="N19" s="7"/>
      <c r="O19" s="5"/>
      <c r="P19" s="5"/>
      <c r="Q19" s="8"/>
      <c r="R19" s="8"/>
      <c r="S19" s="8"/>
      <c r="T19" s="8"/>
      <c r="U19" s="8"/>
      <c r="V19" s="8"/>
      <c r="W19" s="53"/>
      <c r="X19" s="8"/>
      <c r="Y19" s="8"/>
    </row>
    <row r="20" spans="2:25" s="9" customFormat="1" ht="13.5" x14ac:dyDescent="0.15">
      <c r="B20" s="1"/>
      <c r="C20" s="2"/>
      <c r="D20" s="3"/>
      <c r="E20" s="4"/>
      <c r="F20" s="5"/>
      <c r="G20" s="3"/>
      <c r="H20" s="5"/>
      <c r="I20" s="5"/>
      <c r="J20" s="5"/>
      <c r="K20" s="52"/>
      <c r="L20" s="6"/>
      <c r="M20" s="5"/>
      <c r="N20" s="7"/>
      <c r="O20" s="5"/>
      <c r="P20" s="5"/>
      <c r="Q20" s="8"/>
      <c r="R20" s="8"/>
      <c r="S20" s="8"/>
      <c r="T20" s="8"/>
      <c r="U20" s="8"/>
      <c r="V20" s="8"/>
      <c r="W20" s="53"/>
      <c r="X20" s="8"/>
      <c r="Y20" s="8"/>
    </row>
    <row r="21" spans="2:25" s="9" customFormat="1" ht="13.5" x14ac:dyDescent="0.15">
      <c r="B21" s="1"/>
      <c r="C21" s="2"/>
      <c r="D21" s="3"/>
      <c r="E21" s="4"/>
      <c r="F21" s="5"/>
      <c r="G21" s="3"/>
      <c r="H21" s="5"/>
      <c r="I21" s="5"/>
      <c r="J21" s="5"/>
      <c r="K21" s="52"/>
      <c r="L21" s="6"/>
      <c r="M21" s="5"/>
      <c r="N21" s="7"/>
      <c r="O21" s="5"/>
      <c r="P21" s="5"/>
      <c r="Q21" s="8"/>
      <c r="R21" s="8"/>
      <c r="S21" s="8"/>
      <c r="T21" s="8"/>
      <c r="U21" s="8"/>
      <c r="V21" s="8"/>
      <c r="W21" s="53"/>
      <c r="X21" s="8"/>
      <c r="Y21" s="8"/>
    </row>
    <row r="22" spans="2:25" s="9" customFormat="1" ht="13.5" x14ac:dyDescent="0.15">
      <c r="B22" s="1"/>
      <c r="C22" s="2"/>
      <c r="D22" s="3"/>
      <c r="E22" s="4"/>
      <c r="F22" s="5"/>
      <c r="G22" s="3"/>
      <c r="H22" s="5"/>
      <c r="I22" s="5"/>
      <c r="J22" s="5"/>
      <c r="K22" s="52"/>
      <c r="L22" s="6"/>
      <c r="M22" s="5"/>
      <c r="N22" s="7"/>
      <c r="O22" s="5"/>
      <c r="P22" s="5"/>
      <c r="Q22" s="8"/>
      <c r="R22" s="8"/>
      <c r="S22" s="8"/>
      <c r="T22" s="8"/>
      <c r="U22" s="8"/>
      <c r="V22" s="8"/>
      <c r="W22" s="53"/>
      <c r="X22" s="8"/>
      <c r="Y22" s="8"/>
    </row>
    <row r="23" spans="2:25" s="9" customFormat="1" ht="13.5" x14ac:dyDescent="0.15">
      <c r="B23" s="1"/>
      <c r="C23" s="2"/>
      <c r="D23" s="3"/>
      <c r="E23" s="4"/>
      <c r="F23" s="5"/>
      <c r="G23" s="3"/>
      <c r="H23" s="5"/>
      <c r="I23" s="5"/>
      <c r="J23" s="5"/>
      <c r="K23" s="52"/>
      <c r="L23" s="6"/>
      <c r="M23" s="5"/>
      <c r="N23" s="7"/>
      <c r="O23" s="5"/>
      <c r="P23" s="5"/>
      <c r="Q23" s="8"/>
      <c r="R23" s="8"/>
      <c r="S23" s="8"/>
      <c r="T23" s="8"/>
      <c r="U23" s="8"/>
      <c r="V23" s="8"/>
      <c r="W23" s="53"/>
      <c r="X23" s="8"/>
      <c r="Y23" s="8"/>
    </row>
    <row r="24" spans="2:25" s="9" customFormat="1" ht="13.5" x14ac:dyDescent="0.15">
      <c r="B24" s="1"/>
      <c r="C24" s="2"/>
      <c r="D24" s="3"/>
      <c r="E24" s="4"/>
      <c r="F24" s="5"/>
      <c r="G24" s="3"/>
      <c r="H24" s="5"/>
      <c r="I24" s="5"/>
      <c r="J24" s="5"/>
      <c r="K24" s="52"/>
      <c r="L24" s="6"/>
      <c r="M24" s="5"/>
      <c r="N24" s="7"/>
      <c r="O24" s="5"/>
      <c r="P24" s="5"/>
      <c r="Q24" s="8"/>
      <c r="R24" s="8"/>
      <c r="S24" s="8"/>
      <c r="T24" s="8"/>
      <c r="U24" s="8"/>
      <c r="V24" s="8"/>
      <c r="W24" s="53"/>
      <c r="X24" s="8"/>
      <c r="Y24" s="8"/>
    </row>
    <row r="25" spans="2:25" s="9" customFormat="1" ht="13.5" x14ac:dyDescent="0.15">
      <c r="B25" s="1"/>
      <c r="C25" s="2"/>
      <c r="D25" s="3"/>
      <c r="E25" s="4"/>
      <c r="F25" s="5"/>
      <c r="G25" s="3"/>
      <c r="H25" s="5"/>
      <c r="I25" s="5"/>
      <c r="J25" s="5"/>
      <c r="K25" s="52"/>
      <c r="L25" s="6"/>
      <c r="M25" s="5"/>
      <c r="N25" s="7"/>
      <c r="O25" s="5"/>
      <c r="P25" s="5"/>
      <c r="Q25" s="8"/>
      <c r="R25" s="8"/>
      <c r="S25" s="8"/>
      <c r="T25" s="8"/>
      <c r="U25" s="8"/>
      <c r="V25" s="8"/>
      <c r="W25" s="53"/>
      <c r="X25" s="8"/>
      <c r="Y25" s="8"/>
    </row>
    <row r="26" spans="2:25" s="9" customFormat="1" ht="13.5" x14ac:dyDescent="0.15">
      <c r="B26" s="1"/>
      <c r="C26" s="2"/>
      <c r="D26" s="3"/>
      <c r="E26" s="4"/>
      <c r="F26" s="5"/>
      <c r="G26" s="3"/>
      <c r="H26" s="5"/>
      <c r="I26" s="5"/>
      <c r="J26" s="5"/>
      <c r="K26" s="52"/>
      <c r="L26" s="6"/>
      <c r="M26" s="5"/>
      <c r="N26" s="7"/>
      <c r="O26" s="5"/>
      <c r="P26" s="5"/>
      <c r="Q26" s="8"/>
      <c r="R26" s="8"/>
      <c r="S26" s="8"/>
      <c r="T26" s="8"/>
      <c r="U26" s="8"/>
      <c r="V26" s="8"/>
      <c r="W26" s="53"/>
      <c r="X26" s="8"/>
      <c r="Y26" s="8"/>
    </row>
    <row r="27" spans="2:25" s="9" customFormat="1" ht="13.5" x14ac:dyDescent="0.15">
      <c r="B27" s="1"/>
      <c r="C27" s="2"/>
      <c r="D27" s="3"/>
      <c r="E27" s="4"/>
      <c r="F27" s="5"/>
      <c r="G27" s="3"/>
      <c r="H27" s="5"/>
      <c r="I27" s="5"/>
      <c r="J27" s="5"/>
      <c r="K27" s="52"/>
      <c r="L27" s="6"/>
      <c r="M27" s="5"/>
      <c r="N27" s="7"/>
      <c r="O27" s="5"/>
      <c r="P27" s="5"/>
      <c r="Q27" s="8"/>
      <c r="R27" s="8"/>
      <c r="S27" s="8"/>
      <c r="T27" s="8"/>
      <c r="U27" s="8"/>
      <c r="V27" s="8"/>
      <c r="W27" s="53"/>
      <c r="X27" s="8"/>
      <c r="Y27" s="8"/>
    </row>
    <row r="28" spans="2:25" s="9" customFormat="1" ht="13.5" x14ac:dyDescent="0.15">
      <c r="B28" s="1"/>
      <c r="C28" s="2"/>
      <c r="D28" s="3"/>
      <c r="E28" s="4"/>
      <c r="F28" s="5"/>
      <c r="G28" s="3"/>
      <c r="H28" s="5"/>
      <c r="I28" s="5"/>
      <c r="J28" s="5"/>
      <c r="K28" s="52"/>
      <c r="L28" s="6"/>
      <c r="M28" s="5"/>
      <c r="N28" s="7"/>
      <c r="O28" s="5"/>
      <c r="P28" s="5"/>
      <c r="Q28" s="8"/>
      <c r="R28" s="8"/>
      <c r="S28" s="8"/>
      <c r="T28" s="8"/>
      <c r="U28" s="8"/>
      <c r="V28" s="8"/>
      <c r="W28" s="53"/>
      <c r="X28" s="8"/>
      <c r="Y28" s="8"/>
    </row>
    <row r="29" spans="2:25" s="9" customFormat="1" ht="13.5" x14ac:dyDescent="0.15">
      <c r="B29" s="1"/>
      <c r="C29" s="2"/>
      <c r="D29" s="3"/>
      <c r="E29" s="4"/>
      <c r="F29" s="5"/>
      <c r="G29" s="3"/>
      <c r="H29" s="5"/>
      <c r="I29" s="5"/>
      <c r="J29" s="5"/>
      <c r="K29" s="52"/>
      <c r="L29" s="6"/>
      <c r="M29" s="5"/>
      <c r="N29" s="7"/>
      <c r="O29" s="5"/>
      <c r="P29" s="5"/>
      <c r="Q29" s="8"/>
      <c r="R29" s="8"/>
      <c r="S29" s="8"/>
      <c r="T29" s="8"/>
      <c r="U29" s="8"/>
      <c r="V29" s="8"/>
      <c r="W29" s="53"/>
      <c r="X29" s="8"/>
      <c r="Y29" s="8"/>
    </row>
    <row r="30" spans="2:25" s="9" customFormat="1" ht="13.5" x14ac:dyDescent="0.15">
      <c r="B30" s="1"/>
      <c r="C30" s="2"/>
      <c r="D30" s="3"/>
      <c r="E30" s="4"/>
      <c r="F30" s="5"/>
      <c r="G30" s="3"/>
      <c r="H30" s="5"/>
      <c r="I30" s="5"/>
      <c r="J30" s="5"/>
      <c r="K30" s="52"/>
      <c r="L30" s="6"/>
      <c r="M30" s="5"/>
      <c r="N30" s="7"/>
      <c r="O30" s="5"/>
      <c r="P30" s="5"/>
      <c r="Q30" s="8"/>
      <c r="R30" s="8"/>
      <c r="S30" s="8"/>
      <c r="T30" s="8"/>
      <c r="U30" s="8"/>
      <c r="V30" s="8"/>
      <c r="W30" s="53"/>
      <c r="X30" s="8"/>
      <c r="Y30" s="8"/>
    </row>
    <row r="31" spans="2:25" s="14" customFormat="1" ht="12.75" customHeight="1" x14ac:dyDescent="0.15">
      <c r="B31" s="10"/>
      <c r="C31" s="11">
        <v>2</v>
      </c>
      <c r="D31" s="12">
        <v>3</v>
      </c>
      <c r="E31" s="12">
        <v>4</v>
      </c>
      <c r="F31" s="13">
        <v>5</v>
      </c>
      <c r="G31" s="12">
        <v>6</v>
      </c>
      <c r="H31" s="13">
        <v>7</v>
      </c>
      <c r="I31" s="13">
        <v>8</v>
      </c>
      <c r="J31" s="13">
        <v>9</v>
      </c>
      <c r="K31" s="13">
        <v>10</v>
      </c>
      <c r="L31" s="13">
        <v>11</v>
      </c>
      <c r="M31" s="13">
        <v>13</v>
      </c>
      <c r="N31" s="13">
        <v>16</v>
      </c>
      <c r="O31" s="13">
        <v>17</v>
      </c>
      <c r="Q31" s="13"/>
      <c r="R31" s="13"/>
      <c r="S31" s="13"/>
      <c r="T31" s="13"/>
      <c r="U31" s="13"/>
      <c r="V31" s="13"/>
      <c r="W31" s="54"/>
      <c r="X31" s="13"/>
      <c r="Y31" s="13"/>
    </row>
    <row r="32" spans="2:25" s="14" customFormat="1" ht="15.75" customHeight="1" x14ac:dyDescent="0.15">
      <c r="B32" s="10"/>
      <c r="C32" s="11"/>
      <c r="D32" s="12"/>
      <c r="E32" s="12"/>
      <c r="F32" s="13"/>
      <c r="G32" s="12"/>
      <c r="H32" s="13"/>
      <c r="I32" s="13"/>
      <c r="J32" s="13"/>
      <c r="K32" s="13"/>
      <c r="L32" s="13"/>
      <c r="M32" s="13"/>
      <c r="N32" s="15"/>
      <c r="O32" s="13"/>
      <c r="Q32" s="16"/>
      <c r="R32" s="16"/>
      <c r="S32" s="16"/>
      <c r="T32" s="16"/>
      <c r="U32" s="16"/>
      <c r="V32" s="16"/>
      <c r="W32" s="53"/>
      <c r="X32" s="17">
        <v>10</v>
      </c>
      <c r="Y32" s="8"/>
    </row>
    <row r="33" spans="1:26" s="17" customFormat="1" ht="40.5" customHeight="1" x14ac:dyDescent="0.15">
      <c r="A33" s="18" t="s">
        <v>7</v>
      </c>
      <c r="B33" s="19" t="s">
        <v>8</v>
      </c>
      <c r="C33" s="20" t="s">
        <v>10</v>
      </c>
      <c r="D33" s="21" t="s">
        <v>11</v>
      </c>
      <c r="E33" s="55" t="s">
        <v>0</v>
      </c>
      <c r="F33" s="18" t="s">
        <v>12</v>
      </c>
      <c r="G33" s="55" t="s">
        <v>13</v>
      </c>
      <c r="H33" s="18" t="s">
        <v>2</v>
      </c>
      <c r="I33" s="18" t="s">
        <v>14</v>
      </c>
      <c r="J33" s="18" t="s">
        <v>15</v>
      </c>
      <c r="K33" s="56" t="s">
        <v>17</v>
      </c>
      <c r="L33" s="22" t="s">
        <v>18</v>
      </c>
      <c r="M33" s="18" t="s">
        <v>19</v>
      </c>
      <c r="N33" s="23" t="s">
        <v>4</v>
      </c>
      <c r="O33" s="18" t="s">
        <v>21</v>
      </c>
      <c r="Q33" s="24" t="s">
        <v>22</v>
      </c>
      <c r="R33" s="24" t="str">
        <f>"净资产"&amp;"(单位:"&amp;X32&amp;"万元)"</f>
        <v>净资产(单位:10万元)</v>
      </c>
      <c r="S33" s="18" t="str">
        <f>"投入资产"&amp;"(单位:"&amp;X32&amp;"万元)"</f>
        <v>投入资产(单位:10万元)</v>
      </c>
      <c r="T33" s="57" t="s">
        <v>13</v>
      </c>
      <c r="U33" s="18" t="s">
        <v>23</v>
      </c>
      <c r="V33" s="18" t="str">
        <f>"持仓市值"&amp;"(单位:"&amp;X32&amp;"万元)"</f>
        <v>持仓市值(单位:10万元)</v>
      </c>
      <c r="W33" s="58" t="s">
        <v>1</v>
      </c>
      <c r="X33" s="56" t="str">
        <f>"资金可用额度"&amp;"(单位:"&amp;X32&amp;"万元)"</f>
        <v>资金可用额度(单位:10万元)</v>
      </c>
      <c r="Y33" s="18" t="s">
        <v>25</v>
      </c>
    </row>
    <row r="34" spans="1:26" ht="17.100000000000001" customHeight="1" x14ac:dyDescent="0.15">
      <c r="A34" s="25">
        <v>1</v>
      </c>
      <c r="B34" s="26"/>
      <c r="C34" s="27"/>
      <c r="D34" s="27"/>
      <c r="E34" s="27"/>
      <c r="F34" s="28"/>
      <c r="G34" s="27"/>
      <c r="H34" s="28"/>
      <c r="I34" s="27"/>
      <c r="J34" s="29"/>
      <c r="K34" s="59"/>
      <c r="L34" s="30"/>
      <c r="M34" s="31">
        <v>-0.05</v>
      </c>
      <c r="N34" s="32">
        <v>-0.08</v>
      </c>
      <c r="O34" s="33">
        <v>-0.1</v>
      </c>
      <c r="Q34" s="25">
        <f>IF(WEEKDAY(B34,2)=1,I34/$X$32,0)</f>
        <v>0</v>
      </c>
      <c r="R34" s="60">
        <f>C34/$X$32</f>
        <v>0</v>
      </c>
      <c r="S34" s="60">
        <f>D34/$X$32</f>
        <v>0</v>
      </c>
      <c r="T34" s="60">
        <f>G34</f>
        <v>0</v>
      </c>
      <c r="U34" s="34">
        <f>H34</f>
        <v>0</v>
      </c>
      <c r="V34" s="61">
        <f>I34/$X$32</f>
        <v>0</v>
      </c>
      <c r="W34" s="62">
        <f>IF(D34&gt;500,D34/$X$32,D34)</f>
        <v>0</v>
      </c>
      <c r="X34" s="35">
        <f>K34/$X$32</f>
        <v>0</v>
      </c>
      <c r="Y34" s="36">
        <v>0</v>
      </c>
    </row>
    <row r="35" spans="1:26" ht="17.100000000000001" customHeight="1" x14ac:dyDescent="0.15">
      <c r="A35" s="25">
        <v>2</v>
      </c>
      <c r="B35" s="26"/>
      <c r="C35" s="27"/>
      <c r="D35" s="27"/>
      <c r="E35" s="27"/>
      <c r="F35" s="28"/>
      <c r="G35" s="27"/>
      <c r="H35" s="28"/>
      <c r="I35" s="27"/>
      <c r="J35" s="29"/>
      <c r="K35" s="59"/>
      <c r="L35" s="30"/>
      <c r="M35" s="31">
        <v>-0.05</v>
      </c>
      <c r="N35" s="32">
        <v>-0.08</v>
      </c>
      <c r="O35" s="33">
        <v>-0.1</v>
      </c>
      <c r="Q35" s="25">
        <f t="shared" ref="Q35:Q65" si="0">IF(WEEKDAY(B35,2)=1,I35/$X$32,0)</f>
        <v>0</v>
      </c>
      <c r="R35" s="60">
        <f t="shared" ref="R35:S58" si="1">C35/$X$32</f>
        <v>0</v>
      </c>
      <c r="S35" s="60">
        <f t="shared" si="1"/>
        <v>0</v>
      </c>
      <c r="T35" s="60">
        <f t="shared" ref="T35:U58" si="2">G35</f>
        <v>0</v>
      </c>
      <c r="U35" s="34">
        <f t="shared" si="2"/>
        <v>0</v>
      </c>
      <c r="V35" s="61">
        <f t="shared" ref="V35:X58" si="3">I35/$X$32</f>
        <v>0</v>
      </c>
      <c r="W35" s="62">
        <f t="shared" ref="W35:W58" si="4">IF(D35&gt;500,D35/$X$32,D35)</f>
        <v>0</v>
      </c>
      <c r="X35" s="35">
        <f t="shared" si="3"/>
        <v>0</v>
      </c>
      <c r="Y35" s="36">
        <v>0</v>
      </c>
    </row>
    <row r="36" spans="1:26" ht="17.100000000000001" customHeight="1" x14ac:dyDescent="0.15">
      <c r="A36" s="25">
        <v>3</v>
      </c>
      <c r="B36" s="26"/>
      <c r="C36" s="27"/>
      <c r="D36" s="27"/>
      <c r="E36" s="27"/>
      <c r="F36" s="28"/>
      <c r="G36" s="27"/>
      <c r="H36" s="28"/>
      <c r="I36" s="27"/>
      <c r="J36" s="29"/>
      <c r="K36" s="59"/>
      <c r="L36" s="30"/>
      <c r="M36" s="31">
        <v>-0.05</v>
      </c>
      <c r="N36" s="32">
        <v>-0.08</v>
      </c>
      <c r="O36" s="33">
        <v>-0.1</v>
      </c>
      <c r="Q36" s="25">
        <f t="shared" si="0"/>
        <v>0</v>
      </c>
      <c r="R36" s="60">
        <f t="shared" si="1"/>
        <v>0</v>
      </c>
      <c r="S36" s="60">
        <f t="shared" si="1"/>
        <v>0</v>
      </c>
      <c r="T36" s="60">
        <f t="shared" si="2"/>
        <v>0</v>
      </c>
      <c r="U36" s="34">
        <f t="shared" si="2"/>
        <v>0</v>
      </c>
      <c r="V36" s="61">
        <f t="shared" si="3"/>
        <v>0</v>
      </c>
      <c r="W36" s="62">
        <f t="shared" si="4"/>
        <v>0</v>
      </c>
      <c r="X36" s="35">
        <f t="shared" si="3"/>
        <v>0</v>
      </c>
      <c r="Y36" s="36">
        <v>0</v>
      </c>
    </row>
    <row r="37" spans="1:26" s="9" customFormat="1" ht="17.100000000000001" customHeight="1" x14ac:dyDescent="0.15">
      <c r="A37" s="25">
        <v>4</v>
      </c>
      <c r="B37" s="26"/>
      <c r="C37" s="27"/>
      <c r="D37" s="27"/>
      <c r="E37" s="27"/>
      <c r="F37" s="28"/>
      <c r="G37" s="27"/>
      <c r="H37" s="28"/>
      <c r="I37" s="27"/>
      <c r="J37" s="29"/>
      <c r="K37" s="59"/>
      <c r="L37" s="30"/>
      <c r="M37" s="31">
        <v>-0.05</v>
      </c>
      <c r="N37" s="32">
        <v>-0.08</v>
      </c>
      <c r="O37" s="33">
        <v>-0.1</v>
      </c>
      <c r="P37" s="5"/>
      <c r="Q37" s="25">
        <f t="shared" si="0"/>
        <v>0</v>
      </c>
      <c r="R37" s="60">
        <f t="shared" si="1"/>
        <v>0</v>
      </c>
      <c r="S37" s="60">
        <f t="shared" si="1"/>
        <v>0</v>
      </c>
      <c r="T37" s="60">
        <f t="shared" si="2"/>
        <v>0</v>
      </c>
      <c r="U37" s="34">
        <f t="shared" si="2"/>
        <v>0</v>
      </c>
      <c r="V37" s="61">
        <f t="shared" si="3"/>
        <v>0</v>
      </c>
      <c r="W37" s="62">
        <f t="shared" si="4"/>
        <v>0</v>
      </c>
      <c r="X37" s="35">
        <f t="shared" si="3"/>
        <v>0</v>
      </c>
      <c r="Y37" s="36">
        <v>0</v>
      </c>
      <c r="Z37" s="5"/>
    </row>
    <row r="38" spans="1:26" ht="17.100000000000001" customHeight="1" x14ac:dyDescent="0.15">
      <c r="A38" s="25">
        <v>5</v>
      </c>
      <c r="B38" s="26"/>
      <c r="C38" s="27"/>
      <c r="D38" s="27"/>
      <c r="E38" s="27"/>
      <c r="F38" s="28"/>
      <c r="G38" s="27"/>
      <c r="H38" s="28"/>
      <c r="I38" s="27"/>
      <c r="J38" s="29"/>
      <c r="K38" s="59"/>
      <c r="L38" s="30"/>
      <c r="M38" s="31">
        <v>-0.05</v>
      </c>
      <c r="N38" s="32">
        <v>-0.08</v>
      </c>
      <c r="O38" s="33">
        <v>-0.1</v>
      </c>
      <c r="Q38" s="25">
        <f t="shared" si="0"/>
        <v>0</v>
      </c>
      <c r="R38" s="60">
        <f t="shared" si="1"/>
        <v>0</v>
      </c>
      <c r="S38" s="60">
        <f t="shared" si="1"/>
        <v>0</v>
      </c>
      <c r="T38" s="60">
        <f t="shared" si="2"/>
        <v>0</v>
      </c>
      <c r="U38" s="34">
        <f t="shared" si="2"/>
        <v>0</v>
      </c>
      <c r="V38" s="61">
        <f t="shared" si="3"/>
        <v>0</v>
      </c>
      <c r="W38" s="62">
        <f t="shared" si="4"/>
        <v>0</v>
      </c>
      <c r="X38" s="35">
        <f t="shared" si="3"/>
        <v>0</v>
      </c>
      <c r="Y38" s="36">
        <v>0</v>
      </c>
    </row>
    <row r="39" spans="1:26" ht="17.100000000000001" customHeight="1" x14ac:dyDescent="0.15">
      <c r="A39" s="25">
        <v>6</v>
      </c>
      <c r="B39" s="26"/>
      <c r="C39" s="27"/>
      <c r="D39" s="27"/>
      <c r="E39" s="27"/>
      <c r="F39" s="28"/>
      <c r="G39" s="27"/>
      <c r="H39" s="28"/>
      <c r="I39" s="27"/>
      <c r="J39" s="29"/>
      <c r="K39" s="59"/>
      <c r="L39" s="30"/>
      <c r="M39" s="31">
        <v>-0.05</v>
      </c>
      <c r="N39" s="32">
        <v>-0.08</v>
      </c>
      <c r="O39" s="33">
        <v>-0.1</v>
      </c>
      <c r="Q39" s="25">
        <f t="shared" si="0"/>
        <v>0</v>
      </c>
      <c r="R39" s="60">
        <f t="shared" si="1"/>
        <v>0</v>
      </c>
      <c r="S39" s="60">
        <f t="shared" si="1"/>
        <v>0</v>
      </c>
      <c r="T39" s="60">
        <f t="shared" si="2"/>
        <v>0</v>
      </c>
      <c r="U39" s="34">
        <f t="shared" si="2"/>
        <v>0</v>
      </c>
      <c r="V39" s="61">
        <f t="shared" si="3"/>
        <v>0</v>
      </c>
      <c r="W39" s="62">
        <f t="shared" si="4"/>
        <v>0</v>
      </c>
      <c r="X39" s="35">
        <f t="shared" si="3"/>
        <v>0</v>
      </c>
      <c r="Y39" s="36">
        <v>0</v>
      </c>
    </row>
    <row r="40" spans="1:26" ht="17.100000000000001" customHeight="1" x14ac:dyDescent="0.15">
      <c r="A40" s="25">
        <v>7</v>
      </c>
      <c r="B40" s="26"/>
      <c r="C40" s="27"/>
      <c r="D40" s="27"/>
      <c r="E40" s="27"/>
      <c r="F40" s="28"/>
      <c r="G40" s="27"/>
      <c r="H40" s="28"/>
      <c r="I40" s="27"/>
      <c r="J40" s="29"/>
      <c r="K40" s="59"/>
      <c r="L40" s="30"/>
      <c r="M40" s="31">
        <v>-0.05</v>
      </c>
      <c r="N40" s="32">
        <v>-0.08</v>
      </c>
      <c r="O40" s="33">
        <v>-0.1</v>
      </c>
      <c r="Q40" s="25">
        <f t="shared" si="0"/>
        <v>0</v>
      </c>
      <c r="R40" s="60">
        <f t="shared" si="1"/>
        <v>0</v>
      </c>
      <c r="S40" s="60">
        <f t="shared" si="1"/>
        <v>0</v>
      </c>
      <c r="T40" s="60">
        <f t="shared" si="2"/>
        <v>0</v>
      </c>
      <c r="U40" s="34">
        <f t="shared" si="2"/>
        <v>0</v>
      </c>
      <c r="V40" s="61">
        <f t="shared" si="3"/>
        <v>0</v>
      </c>
      <c r="W40" s="62">
        <f t="shared" si="4"/>
        <v>0</v>
      </c>
      <c r="X40" s="35">
        <f t="shared" si="3"/>
        <v>0</v>
      </c>
      <c r="Y40" s="36">
        <v>0</v>
      </c>
    </row>
    <row r="41" spans="1:26" ht="17.100000000000001" customHeight="1" x14ac:dyDescent="0.15">
      <c r="A41" s="25">
        <v>8</v>
      </c>
      <c r="B41" s="26"/>
      <c r="C41" s="27"/>
      <c r="D41" s="27"/>
      <c r="E41" s="27"/>
      <c r="F41" s="28"/>
      <c r="G41" s="27"/>
      <c r="H41" s="28"/>
      <c r="I41" s="27"/>
      <c r="J41" s="29"/>
      <c r="K41" s="59"/>
      <c r="L41" s="30"/>
      <c r="M41" s="31">
        <v>-0.05</v>
      </c>
      <c r="N41" s="32">
        <v>-0.08</v>
      </c>
      <c r="O41" s="33">
        <v>-0.1</v>
      </c>
      <c r="Q41" s="25">
        <f t="shared" si="0"/>
        <v>0</v>
      </c>
      <c r="R41" s="60">
        <f t="shared" si="1"/>
        <v>0</v>
      </c>
      <c r="S41" s="60">
        <f t="shared" si="1"/>
        <v>0</v>
      </c>
      <c r="T41" s="60">
        <f t="shared" si="2"/>
        <v>0</v>
      </c>
      <c r="U41" s="34">
        <f t="shared" si="2"/>
        <v>0</v>
      </c>
      <c r="V41" s="61">
        <f t="shared" si="3"/>
        <v>0</v>
      </c>
      <c r="W41" s="62">
        <f t="shared" si="4"/>
        <v>0</v>
      </c>
      <c r="X41" s="35">
        <f t="shared" si="3"/>
        <v>0</v>
      </c>
      <c r="Y41" s="36">
        <v>0</v>
      </c>
    </row>
    <row r="42" spans="1:26" s="9" customFormat="1" ht="17.100000000000001" customHeight="1" x14ac:dyDescent="0.15">
      <c r="A42" s="25">
        <v>9</v>
      </c>
      <c r="B42" s="26"/>
      <c r="C42" s="27"/>
      <c r="D42" s="27"/>
      <c r="E42" s="27"/>
      <c r="F42" s="28"/>
      <c r="G42" s="27"/>
      <c r="H42" s="28"/>
      <c r="I42" s="27"/>
      <c r="J42" s="29"/>
      <c r="K42" s="59"/>
      <c r="L42" s="30"/>
      <c r="M42" s="31">
        <v>-0.05</v>
      </c>
      <c r="N42" s="32">
        <v>-0.08</v>
      </c>
      <c r="O42" s="33">
        <v>-0.1</v>
      </c>
      <c r="P42" s="5"/>
      <c r="Q42" s="25">
        <f t="shared" si="0"/>
        <v>0</v>
      </c>
      <c r="R42" s="60">
        <f t="shared" si="1"/>
        <v>0</v>
      </c>
      <c r="S42" s="60">
        <f t="shared" si="1"/>
        <v>0</v>
      </c>
      <c r="T42" s="60">
        <f t="shared" si="2"/>
        <v>0</v>
      </c>
      <c r="U42" s="34">
        <f t="shared" si="2"/>
        <v>0</v>
      </c>
      <c r="V42" s="61">
        <f t="shared" si="3"/>
        <v>0</v>
      </c>
      <c r="W42" s="62">
        <f t="shared" si="4"/>
        <v>0</v>
      </c>
      <c r="X42" s="35">
        <f t="shared" si="3"/>
        <v>0</v>
      </c>
      <c r="Y42" s="36">
        <v>0</v>
      </c>
      <c r="Z42" s="5"/>
    </row>
    <row r="43" spans="1:26" s="9" customFormat="1" ht="17.100000000000001" customHeight="1" x14ac:dyDescent="0.15">
      <c r="A43" s="25">
        <v>10</v>
      </c>
      <c r="B43" s="26"/>
      <c r="C43" s="27"/>
      <c r="D43" s="27"/>
      <c r="E43" s="27"/>
      <c r="F43" s="28"/>
      <c r="G43" s="27"/>
      <c r="H43" s="28"/>
      <c r="I43" s="27"/>
      <c r="J43" s="29"/>
      <c r="K43" s="59"/>
      <c r="L43" s="30"/>
      <c r="M43" s="31">
        <v>-0.05</v>
      </c>
      <c r="N43" s="32">
        <v>-0.08</v>
      </c>
      <c r="O43" s="33">
        <v>-0.1</v>
      </c>
      <c r="P43" s="5"/>
      <c r="Q43" s="25">
        <f t="shared" si="0"/>
        <v>0</v>
      </c>
      <c r="R43" s="60">
        <f t="shared" si="1"/>
        <v>0</v>
      </c>
      <c r="S43" s="60">
        <f t="shared" si="1"/>
        <v>0</v>
      </c>
      <c r="T43" s="60">
        <f t="shared" si="2"/>
        <v>0</v>
      </c>
      <c r="U43" s="34">
        <f t="shared" si="2"/>
        <v>0</v>
      </c>
      <c r="V43" s="61">
        <f t="shared" si="3"/>
        <v>0</v>
      </c>
      <c r="W43" s="62">
        <f t="shared" si="4"/>
        <v>0</v>
      </c>
      <c r="X43" s="35">
        <f t="shared" si="3"/>
        <v>0</v>
      </c>
      <c r="Y43" s="36">
        <v>0</v>
      </c>
      <c r="Z43" s="5"/>
    </row>
    <row r="44" spans="1:26" ht="17.100000000000001" customHeight="1" x14ac:dyDescent="0.15">
      <c r="A44" s="25">
        <v>11</v>
      </c>
      <c r="B44" s="26"/>
      <c r="C44" s="27"/>
      <c r="D44" s="27"/>
      <c r="E44" s="27"/>
      <c r="F44" s="28"/>
      <c r="G44" s="27"/>
      <c r="H44" s="28"/>
      <c r="I44" s="27"/>
      <c r="J44" s="29"/>
      <c r="K44" s="59"/>
      <c r="L44" s="30"/>
      <c r="M44" s="31">
        <v>-0.05</v>
      </c>
      <c r="N44" s="32">
        <v>-0.08</v>
      </c>
      <c r="O44" s="33">
        <v>-0.1</v>
      </c>
      <c r="Q44" s="25">
        <f t="shared" si="0"/>
        <v>0</v>
      </c>
      <c r="R44" s="60">
        <f t="shared" si="1"/>
        <v>0</v>
      </c>
      <c r="S44" s="60">
        <f t="shared" si="1"/>
        <v>0</v>
      </c>
      <c r="T44" s="60">
        <f t="shared" si="2"/>
        <v>0</v>
      </c>
      <c r="U44" s="34">
        <f t="shared" si="2"/>
        <v>0</v>
      </c>
      <c r="V44" s="61">
        <f t="shared" si="3"/>
        <v>0</v>
      </c>
      <c r="W44" s="62">
        <f t="shared" si="4"/>
        <v>0</v>
      </c>
      <c r="X44" s="35">
        <f t="shared" si="3"/>
        <v>0</v>
      </c>
      <c r="Y44" s="36">
        <v>0</v>
      </c>
    </row>
    <row r="45" spans="1:26" ht="17.100000000000001" customHeight="1" x14ac:dyDescent="0.15">
      <c r="A45" s="25">
        <v>12</v>
      </c>
      <c r="B45" s="26"/>
      <c r="C45" s="27"/>
      <c r="D45" s="27"/>
      <c r="E45" s="27"/>
      <c r="F45" s="28"/>
      <c r="G45" s="27"/>
      <c r="H45" s="28"/>
      <c r="I45" s="27"/>
      <c r="J45" s="29"/>
      <c r="K45" s="59"/>
      <c r="L45" s="30"/>
      <c r="M45" s="31">
        <v>-0.05</v>
      </c>
      <c r="N45" s="32">
        <v>-0.08</v>
      </c>
      <c r="O45" s="33">
        <v>-0.1</v>
      </c>
      <c r="Q45" s="25">
        <f t="shared" si="0"/>
        <v>0</v>
      </c>
      <c r="R45" s="60">
        <f t="shared" si="1"/>
        <v>0</v>
      </c>
      <c r="S45" s="60">
        <f t="shared" si="1"/>
        <v>0</v>
      </c>
      <c r="T45" s="60">
        <f t="shared" si="2"/>
        <v>0</v>
      </c>
      <c r="U45" s="34">
        <f t="shared" si="2"/>
        <v>0</v>
      </c>
      <c r="V45" s="61">
        <f t="shared" si="3"/>
        <v>0</v>
      </c>
      <c r="W45" s="62">
        <f t="shared" si="4"/>
        <v>0</v>
      </c>
      <c r="X45" s="35">
        <f t="shared" si="3"/>
        <v>0</v>
      </c>
      <c r="Y45" s="36">
        <v>0</v>
      </c>
    </row>
    <row r="46" spans="1:26" ht="17.100000000000001" customHeight="1" x14ac:dyDescent="0.15">
      <c r="A46" s="25">
        <v>13</v>
      </c>
      <c r="B46" s="26"/>
      <c r="C46" s="27"/>
      <c r="D46" s="27"/>
      <c r="E46" s="27"/>
      <c r="F46" s="28"/>
      <c r="G46" s="27"/>
      <c r="H46" s="28"/>
      <c r="I46" s="27"/>
      <c r="J46" s="29"/>
      <c r="K46" s="59"/>
      <c r="L46" s="30"/>
      <c r="M46" s="31">
        <v>-0.05</v>
      </c>
      <c r="N46" s="32">
        <v>-0.08</v>
      </c>
      <c r="O46" s="33">
        <v>-0.1</v>
      </c>
      <c r="Q46" s="25">
        <f t="shared" si="0"/>
        <v>0</v>
      </c>
      <c r="R46" s="60">
        <f t="shared" si="1"/>
        <v>0</v>
      </c>
      <c r="S46" s="60">
        <f t="shared" si="1"/>
        <v>0</v>
      </c>
      <c r="T46" s="60">
        <f t="shared" si="2"/>
        <v>0</v>
      </c>
      <c r="U46" s="34">
        <f t="shared" si="2"/>
        <v>0</v>
      </c>
      <c r="V46" s="61">
        <f t="shared" si="3"/>
        <v>0</v>
      </c>
      <c r="W46" s="62">
        <f t="shared" si="4"/>
        <v>0</v>
      </c>
      <c r="X46" s="35">
        <f t="shared" si="3"/>
        <v>0</v>
      </c>
      <c r="Y46" s="36">
        <v>0</v>
      </c>
    </row>
    <row r="47" spans="1:26" s="9" customFormat="1" ht="17.100000000000001" customHeight="1" x14ac:dyDescent="0.15">
      <c r="A47" s="25">
        <v>14</v>
      </c>
      <c r="B47" s="26"/>
      <c r="C47" s="27"/>
      <c r="D47" s="27"/>
      <c r="E47" s="27"/>
      <c r="F47" s="28"/>
      <c r="G47" s="27"/>
      <c r="H47" s="28"/>
      <c r="I47" s="27"/>
      <c r="J47" s="29"/>
      <c r="K47" s="59"/>
      <c r="L47" s="30"/>
      <c r="M47" s="31">
        <v>-0.05</v>
      </c>
      <c r="N47" s="32">
        <v>-0.08</v>
      </c>
      <c r="O47" s="33">
        <v>-0.1</v>
      </c>
      <c r="P47" s="5"/>
      <c r="Q47" s="25">
        <f t="shared" si="0"/>
        <v>0</v>
      </c>
      <c r="R47" s="60">
        <f t="shared" si="1"/>
        <v>0</v>
      </c>
      <c r="S47" s="60">
        <f t="shared" si="1"/>
        <v>0</v>
      </c>
      <c r="T47" s="60">
        <f t="shared" si="2"/>
        <v>0</v>
      </c>
      <c r="U47" s="34">
        <f t="shared" si="2"/>
        <v>0</v>
      </c>
      <c r="V47" s="61">
        <f t="shared" si="3"/>
        <v>0</v>
      </c>
      <c r="W47" s="62">
        <f t="shared" si="4"/>
        <v>0</v>
      </c>
      <c r="X47" s="35">
        <f t="shared" si="3"/>
        <v>0</v>
      </c>
      <c r="Y47" s="36">
        <v>0</v>
      </c>
      <c r="Z47" s="5"/>
    </row>
    <row r="48" spans="1:26" ht="17.100000000000001" customHeight="1" x14ac:dyDescent="0.15">
      <c r="A48" s="25">
        <v>15</v>
      </c>
      <c r="B48" s="26"/>
      <c r="C48" s="27"/>
      <c r="D48" s="27"/>
      <c r="E48" s="27"/>
      <c r="F48" s="28"/>
      <c r="G48" s="27"/>
      <c r="H48" s="28"/>
      <c r="I48" s="27"/>
      <c r="J48" s="29"/>
      <c r="K48" s="59"/>
      <c r="L48" s="30"/>
      <c r="M48" s="31">
        <v>-0.05</v>
      </c>
      <c r="N48" s="32">
        <v>-0.08</v>
      </c>
      <c r="O48" s="33">
        <v>-0.1</v>
      </c>
      <c r="Q48" s="25">
        <f t="shared" si="0"/>
        <v>0</v>
      </c>
      <c r="R48" s="60">
        <f t="shared" si="1"/>
        <v>0</v>
      </c>
      <c r="S48" s="60">
        <f t="shared" si="1"/>
        <v>0</v>
      </c>
      <c r="T48" s="60">
        <f t="shared" si="2"/>
        <v>0</v>
      </c>
      <c r="U48" s="34">
        <f t="shared" si="2"/>
        <v>0</v>
      </c>
      <c r="V48" s="61">
        <f t="shared" si="3"/>
        <v>0</v>
      </c>
      <c r="W48" s="62">
        <f t="shared" si="4"/>
        <v>0</v>
      </c>
      <c r="X48" s="35">
        <f t="shared" si="3"/>
        <v>0</v>
      </c>
      <c r="Y48" s="36">
        <v>0</v>
      </c>
    </row>
    <row r="49" spans="1:26" ht="17.100000000000001" customHeight="1" x14ac:dyDescent="0.15">
      <c r="A49" s="25">
        <v>16</v>
      </c>
      <c r="B49" s="26"/>
      <c r="C49" s="27"/>
      <c r="D49" s="27"/>
      <c r="E49" s="27"/>
      <c r="F49" s="28"/>
      <c r="G49" s="27"/>
      <c r="H49" s="28"/>
      <c r="I49" s="27"/>
      <c r="J49" s="29"/>
      <c r="K49" s="59"/>
      <c r="L49" s="30"/>
      <c r="M49" s="31">
        <v>-0.05</v>
      </c>
      <c r="N49" s="32">
        <v>-0.08</v>
      </c>
      <c r="O49" s="33">
        <v>-0.1</v>
      </c>
      <c r="Q49" s="25">
        <f t="shared" si="0"/>
        <v>0</v>
      </c>
      <c r="R49" s="60">
        <f t="shared" si="1"/>
        <v>0</v>
      </c>
      <c r="S49" s="60">
        <f t="shared" si="1"/>
        <v>0</v>
      </c>
      <c r="T49" s="60">
        <f t="shared" si="2"/>
        <v>0</v>
      </c>
      <c r="U49" s="34">
        <f t="shared" si="2"/>
        <v>0</v>
      </c>
      <c r="V49" s="61">
        <f t="shared" si="3"/>
        <v>0</v>
      </c>
      <c r="W49" s="62">
        <f t="shared" si="4"/>
        <v>0</v>
      </c>
      <c r="X49" s="35">
        <f t="shared" si="3"/>
        <v>0</v>
      </c>
      <c r="Y49" s="36">
        <v>0</v>
      </c>
    </row>
    <row r="50" spans="1:26" ht="17.100000000000001" customHeight="1" x14ac:dyDescent="0.15">
      <c r="A50" s="25">
        <v>17</v>
      </c>
      <c r="B50" s="26"/>
      <c r="C50" s="27"/>
      <c r="D50" s="27"/>
      <c r="E50" s="27"/>
      <c r="F50" s="28"/>
      <c r="G50" s="27"/>
      <c r="H50" s="28"/>
      <c r="I50" s="27"/>
      <c r="J50" s="29"/>
      <c r="K50" s="59"/>
      <c r="L50" s="30"/>
      <c r="M50" s="31">
        <v>-0.05</v>
      </c>
      <c r="N50" s="32">
        <v>-0.08</v>
      </c>
      <c r="O50" s="33">
        <v>-0.1</v>
      </c>
      <c r="Q50" s="25">
        <f t="shared" si="0"/>
        <v>0</v>
      </c>
      <c r="R50" s="60">
        <f t="shared" si="1"/>
        <v>0</v>
      </c>
      <c r="S50" s="60">
        <f t="shared" si="1"/>
        <v>0</v>
      </c>
      <c r="T50" s="60">
        <f t="shared" si="2"/>
        <v>0</v>
      </c>
      <c r="U50" s="34">
        <f t="shared" si="2"/>
        <v>0</v>
      </c>
      <c r="V50" s="61">
        <f t="shared" si="3"/>
        <v>0</v>
      </c>
      <c r="W50" s="62">
        <f t="shared" si="4"/>
        <v>0</v>
      </c>
      <c r="X50" s="35">
        <f t="shared" si="3"/>
        <v>0</v>
      </c>
      <c r="Y50" s="36">
        <v>0</v>
      </c>
    </row>
    <row r="51" spans="1:26" ht="17.100000000000001" customHeight="1" x14ac:dyDescent="0.15">
      <c r="A51" s="25">
        <v>18</v>
      </c>
      <c r="B51" s="26"/>
      <c r="C51" s="27"/>
      <c r="D51" s="27"/>
      <c r="E51" s="27"/>
      <c r="F51" s="28"/>
      <c r="G51" s="27"/>
      <c r="H51" s="28"/>
      <c r="I51" s="27"/>
      <c r="J51" s="29"/>
      <c r="K51" s="59"/>
      <c r="L51" s="30"/>
      <c r="M51" s="31">
        <v>-0.05</v>
      </c>
      <c r="N51" s="32">
        <v>-0.08</v>
      </c>
      <c r="O51" s="33">
        <v>-0.1</v>
      </c>
      <c r="Q51" s="25">
        <f t="shared" si="0"/>
        <v>0</v>
      </c>
      <c r="R51" s="60">
        <f t="shared" si="1"/>
        <v>0</v>
      </c>
      <c r="S51" s="60">
        <f t="shared" si="1"/>
        <v>0</v>
      </c>
      <c r="T51" s="60">
        <f t="shared" si="2"/>
        <v>0</v>
      </c>
      <c r="U51" s="34">
        <f t="shared" si="2"/>
        <v>0</v>
      </c>
      <c r="V51" s="61">
        <f t="shared" si="3"/>
        <v>0</v>
      </c>
      <c r="W51" s="62">
        <f t="shared" si="4"/>
        <v>0</v>
      </c>
      <c r="X51" s="35">
        <f t="shared" si="3"/>
        <v>0</v>
      </c>
      <c r="Y51" s="36">
        <v>0</v>
      </c>
    </row>
    <row r="52" spans="1:26" s="9" customFormat="1" ht="17.100000000000001" customHeight="1" x14ac:dyDescent="0.15">
      <c r="A52" s="25">
        <v>19</v>
      </c>
      <c r="B52" s="26"/>
      <c r="C52" s="27"/>
      <c r="D52" s="27"/>
      <c r="E52" s="27"/>
      <c r="F52" s="28"/>
      <c r="G52" s="27"/>
      <c r="H52" s="28"/>
      <c r="I52" s="27"/>
      <c r="J52" s="29"/>
      <c r="K52" s="59"/>
      <c r="L52" s="30"/>
      <c r="M52" s="31">
        <v>-0.05</v>
      </c>
      <c r="N52" s="32">
        <v>-0.08</v>
      </c>
      <c r="O52" s="33">
        <v>-0.1</v>
      </c>
      <c r="P52" s="5"/>
      <c r="Q52" s="25">
        <f t="shared" si="0"/>
        <v>0</v>
      </c>
      <c r="R52" s="60">
        <f t="shared" si="1"/>
        <v>0</v>
      </c>
      <c r="S52" s="60">
        <f t="shared" si="1"/>
        <v>0</v>
      </c>
      <c r="T52" s="60">
        <f t="shared" si="2"/>
        <v>0</v>
      </c>
      <c r="U52" s="34">
        <f t="shared" si="2"/>
        <v>0</v>
      </c>
      <c r="V52" s="61">
        <f t="shared" si="3"/>
        <v>0</v>
      </c>
      <c r="W52" s="62">
        <f t="shared" si="4"/>
        <v>0</v>
      </c>
      <c r="X52" s="35">
        <f t="shared" si="3"/>
        <v>0</v>
      </c>
      <c r="Y52" s="36">
        <v>0</v>
      </c>
      <c r="Z52" s="5"/>
    </row>
    <row r="53" spans="1:26" s="9" customFormat="1" ht="17.100000000000001" customHeight="1" x14ac:dyDescent="0.15">
      <c r="A53" s="25">
        <v>20</v>
      </c>
      <c r="B53" s="26"/>
      <c r="C53" s="27"/>
      <c r="D53" s="27"/>
      <c r="E53" s="27"/>
      <c r="F53" s="28"/>
      <c r="G53" s="27"/>
      <c r="H53" s="28"/>
      <c r="I53" s="27"/>
      <c r="J53" s="29"/>
      <c r="K53" s="59"/>
      <c r="L53" s="30"/>
      <c r="M53" s="31">
        <v>-0.05</v>
      </c>
      <c r="N53" s="32">
        <v>-0.08</v>
      </c>
      <c r="O53" s="33">
        <v>-0.1</v>
      </c>
      <c r="P53" s="5"/>
      <c r="Q53" s="25">
        <f t="shared" si="0"/>
        <v>0</v>
      </c>
      <c r="R53" s="60">
        <f t="shared" si="1"/>
        <v>0</v>
      </c>
      <c r="S53" s="60">
        <f t="shared" si="1"/>
        <v>0</v>
      </c>
      <c r="T53" s="60">
        <f t="shared" si="2"/>
        <v>0</v>
      </c>
      <c r="U53" s="34">
        <f t="shared" si="2"/>
        <v>0</v>
      </c>
      <c r="V53" s="61">
        <f t="shared" si="3"/>
        <v>0</v>
      </c>
      <c r="W53" s="62">
        <f t="shared" si="4"/>
        <v>0</v>
      </c>
      <c r="X53" s="35">
        <f t="shared" si="3"/>
        <v>0</v>
      </c>
      <c r="Y53" s="36">
        <v>0</v>
      </c>
      <c r="Z53" s="5"/>
    </row>
    <row r="54" spans="1:26" ht="17.100000000000001" customHeight="1" x14ac:dyDescent="0.15">
      <c r="A54" s="25">
        <v>21</v>
      </c>
      <c r="B54" s="26"/>
      <c r="C54" s="27"/>
      <c r="D54" s="27"/>
      <c r="E54" s="27"/>
      <c r="F54" s="28"/>
      <c r="G54" s="27"/>
      <c r="H54" s="28"/>
      <c r="I54" s="27"/>
      <c r="J54" s="29"/>
      <c r="K54" s="59"/>
      <c r="L54" s="30"/>
      <c r="M54" s="31">
        <v>-0.05</v>
      </c>
      <c r="N54" s="32">
        <v>-0.08</v>
      </c>
      <c r="O54" s="33">
        <v>-0.1</v>
      </c>
      <c r="Q54" s="25">
        <f t="shared" si="0"/>
        <v>0</v>
      </c>
      <c r="R54" s="60">
        <f t="shared" si="1"/>
        <v>0</v>
      </c>
      <c r="S54" s="60">
        <f t="shared" si="1"/>
        <v>0</v>
      </c>
      <c r="T54" s="60">
        <f t="shared" si="2"/>
        <v>0</v>
      </c>
      <c r="U54" s="34">
        <f t="shared" si="2"/>
        <v>0</v>
      </c>
      <c r="V54" s="61">
        <f t="shared" si="3"/>
        <v>0</v>
      </c>
      <c r="W54" s="62">
        <f t="shared" si="4"/>
        <v>0</v>
      </c>
      <c r="X54" s="35">
        <f t="shared" si="3"/>
        <v>0</v>
      </c>
      <c r="Y54" s="36">
        <v>0</v>
      </c>
    </row>
    <row r="55" spans="1:26" ht="17.100000000000001" customHeight="1" x14ac:dyDescent="0.15">
      <c r="A55" s="25">
        <v>22</v>
      </c>
      <c r="B55" s="26"/>
      <c r="C55" s="27"/>
      <c r="D55" s="27"/>
      <c r="E55" s="27"/>
      <c r="F55" s="28"/>
      <c r="G55" s="27"/>
      <c r="H55" s="28"/>
      <c r="I55" s="27"/>
      <c r="J55" s="29"/>
      <c r="K55" s="59"/>
      <c r="L55" s="30"/>
      <c r="M55" s="31">
        <v>-0.05</v>
      </c>
      <c r="N55" s="32">
        <v>-0.08</v>
      </c>
      <c r="O55" s="33">
        <v>-0.1</v>
      </c>
      <c r="Q55" s="25">
        <f t="shared" si="0"/>
        <v>0</v>
      </c>
      <c r="R55" s="60">
        <f t="shared" si="1"/>
        <v>0</v>
      </c>
      <c r="S55" s="60">
        <f t="shared" si="1"/>
        <v>0</v>
      </c>
      <c r="T55" s="60">
        <f t="shared" si="2"/>
        <v>0</v>
      </c>
      <c r="U55" s="34">
        <f t="shared" si="2"/>
        <v>0</v>
      </c>
      <c r="V55" s="61">
        <f t="shared" si="3"/>
        <v>0</v>
      </c>
      <c r="W55" s="62">
        <f t="shared" si="4"/>
        <v>0</v>
      </c>
      <c r="X55" s="35">
        <f t="shared" si="3"/>
        <v>0</v>
      </c>
      <c r="Y55" s="36">
        <v>0</v>
      </c>
    </row>
    <row r="56" spans="1:26" s="42" customFormat="1" ht="17.100000000000001" customHeight="1" x14ac:dyDescent="0.15">
      <c r="A56" s="37">
        <v>23</v>
      </c>
      <c r="B56" s="26"/>
      <c r="C56" s="27"/>
      <c r="D56" s="27"/>
      <c r="E56" s="27"/>
      <c r="F56" s="28"/>
      <c r="G56" s="27"/>
      <c r="H56" s="28"/>
      <c r="I56" s="27"/>
      <c r="J56" s="29"/>
      <c r="K56" s="59"/>
      <c r="L56" s="38"/>
      <c r="M56" s="39">
        <v>-0.05</v>
      </c>
      <c r="N56" s="40">
        <v>-0.08</v>
      </c>
      <c r="O56" s="41">
        <v>-0.1</v>
      </c>
      <c r="Q56" s="25">
        <f t="shared" si="0"/>
        <v>0</v>
      </c>
      <c r="R56" s="60">
        <f t="shared" si="1"/>
        <v>0</v>
      </c>
      <c r="S56" s="63">
        <f t="shared" si="1"/>
        <v>0</v>
      </c>
      <c r="T56" s="63">
        <f t="shared" si="2"/>
        <v>0</v>
      </c>
      <c r="U56" s="43">
        <f t="shared" si="2"/>
        <v>0</v>
      </c>
      <c r="V56" s="63">
        <f t="shared" si="3"/>
        <v>0</v>
      </c>
      <c r="W56" s="62">
        <f t="shared" si="4"/>
        <v>0</v>
      </c>
      <c r="X56" s="44">
        <f t="shared" si="3"/>
        <v>0</v>
      </c>
      <c r="Y56" s="45">
        <v>0</v>
      </c>
      <c r="Z56" s="5"/>
    </row>
    <row r="57" spans="1:26" s="9" customFormat="1" ht="17.100000000000001" customHeight="1" x14ac:dyDescent="0.15">
      <c r="A57" s="25">
        <v>24</v>
      </c>
      <c r="B57" s="26"/>
      <c r="C57" s="27"/>
      <c r="D57" s="27"/>
      <c r="E57" s="27"/>
      <c r="F57" s="28"/>
      <c r="G57" s="27"/>
      <c r="H57" s="28"/>
      <c r="I57" s="27"/>
      <c r="J57" s="29"/>
      <c r="K57" s="59"/>
      <c r="L57" s="30"/>
      <c r="M57" s="31">
        <v>-0.05</v>
      </c>
      <c r="N57" s="32">
        <v>-0.08</v>
      </c>
      <c r="O57" s="33">
        <v>-0.1</v>
      </c>
      <c r="P57" s="5"/>
      <c r="Q57" s="25">
        <f t="shared" si="0"/>
        <v>0</v>
      </c>
      <c r="R57" s="60">
        <f t="shared" si="1"/>
        <v>0</v>
      </c>
      <c r="S57" s="60">
        <f t="shared" si="1"/>
        <v>0</v>
      </c>
      <c r="T57" s="60">
        <f t="shared" si="2"/>
        <v>0</v>
      </c>
      <c r="U57" s="34">
        <f t="shared" si="2"/>
        <v>0</v>
      </c>
      <c r="V57" s="61">
        <f t="shared" si="3"/>
        <v>0</v>
      </c>
      <c r="W57" s="62">
        <f t="shared" si="4"/>
        <v>0</v>
      </c>
      <c r="X57" s="35">
        <f t="shared" si="3"/>
        <v>0</v>
      </c>
      <c r="Y57" s="36">
        <v>0</v>
      </c>
      <c r="Z57" s="5"/>
    </row>
    <row r="58" spans="1:26" ht="17.100000000000001" customHeight="1" x14ac:dyDescent="0.15">
      <c r="A58" s="25">
        <v>25</v>
      </c>
      <c r="B58" s="26"/>
      <c r="C58" s="27"/>
      <c r="D58" s="27"/>
      <c r="E58" s="27"/>
      <c r="F58" s="28"/>
      <c r="G58" s="27"/>
      <c r="H58" s="28"/>
      <c r="I58" s="27"/>
      <c r="J58" s="29"/>
      <c r="K58" s="59"/>
      <c r="L58" s="30"/>
      <c r="M58" s="31">
        <v>-0.05</v>
      </c>
      <c r="N58" s="32">
        <v>-0.08</v>
      </c>
      <c r="O58" s="33">
        <v>-0.1</v>
      </c>
      <c r="Q58" s="25">
        <f t="shared" si="0"/>
        <v>0</v>
      </c>
      <c r="R58" s="60">
        <f t="shared" si="1"/>
        <v>0</v>
      </c>
      <c r="S58" s="60">
        <f t="shared" si="1"/>
        <v>0</v>
      </c>
      <c r="T58" s="60">
        <f t="shared" si="2"/>
        <v>0</v>
      </c>
      <c r="U58" s="34">
        <f t="shared" si="2"/>
        <v>0</v>
      </c>
      <c r="V58" s="61">
        <f t="shared" si="3"/>
        <v>0</v>
      </c>
      <c r="W58" s="62">
        <f t="shared" si="4"/>
        <v>0</v>
      </c>
      <c r="X58" s="35">
        <f t="shared" si="3"/>
        <v>0</v>
      </c>
      <c r="Y58" s="36">
        <v>0</v>
      </c>
    </row>
    <row r="59" spans="1:26" x14ac:dyDescent="0.15">
      <c r="A59" s="46"/>
      <c r="C59" s="47"/>
      <c r="J59" s="48"/>
      <c r="K59" s="48"/>
      <c r="M59" s="31">
        <v>-0.05</v>
      </c>
      <c r="Q59" s="25">
        <f t="shared" si="0"/>
        <v>0</v>
      </c>
      <c r="R59" s="60"/>
      <c r="Y59" s="36">
        <v>0</v>
      </c>
    </row>
    <row r="60" spans="1:26" x14ac:dyDescent="0.15">
      <c r="A60" s="46"/>
      <c r="M60" s="31">
        <v>-0.05</v>
      </c>
      <c r="Q60" s="25">
        <f t="shared" si="0"/>
        <v>0</v>
      </c>
      <c r="R60" s="60"/>
      <c r="Y60" s="36">
        <v>0</v>
      </c>
    </row>
    <row r="61" spans="1:26" x14ac:dyDescent="0.15">
      <c r="M61" s="31">
        <v>-0.05</v>
      </c>
      <c r="Q61" s="25">
        <f t="shared" si="0"/>
        <v>0</v>
      </c>
      <c r="R61" s="60"/>
      <c r="Y61" s="36">
        <v>0</v>
      </c>
    </row>
    <row r="62" spans="1:26" x14ac:dyDescent="0.15">
      <c r="M62" s="31">
        <v>-0.05</v>
      </c>
      <c r="Q62" s="25">
        <f t="shared" si="0"/>
        <v>0</v>
      </c>
      <c r="R62" s="60"/>
      <c r="Y62" s="36">
        <v>0</v>
      </c>
    </row>
    <row r="63" spans="1:26" x14ac:dyDescent="0.15">
      <c r="M63" s="31">
        <v>-0.05</v>
      </c>
      <c r="Q63" s="25">
        <f t="shared" si="0"/>
        <v>0</v>
      </c>
      <c r="R63" s="60"/>
      <c r="Y63" s="36">
        <v>0</v>
      </c>
    </row>
    <row r="64" spans="1:26" x14ac:dyDescent="0.15">
      <c r="M64" s="31">
        <v>-0.05</v>
      </c>
      <c r="Q64" s="25">
        <f t="shared" si="0"/>
        <v>0</v>
      </c>
      <c r="R64" s="60"/>
      <c r="Y64" s="36">
        <v>0</v>
      </c>
    </row>
    <row r="65" spans="1:26" s="9" customFormat="1" ht="13.5" x14ac:dyDescent="0.15">
      <c r="B65" s="1"/>
      <c r="C65" s="2"/>
      <c r="D65" s="3"/>
      <c r="E65" s="3"/>
      <c r="F65" s="5"/>
      <c r="G65" s="3"/>
      <c r="H65" s="5"/>
      <c r="I65" s="5"/>
      <c r="J65" s="5"/>
      <c r="K65" s="64"/>
      <c r="L65" s="6"/>
      <c r="M65" s="31">
        <v>-0.05</v>
      </c>
      <c r="N65" s="7"/>
      <c r="O65" s="5"/>
      <c r="P65" s="5"/>
      <c r="Q65" s="25">
        <f t="shared" si="0"/>
        <v>0</v>
      </c>
      <c r="R65" s="60"/>
      <c r="S65" s="8"/>
      <c r="T65" s="8"/>
      <c r="U65" s="8"/>
      <c r="V65" s="8"/>
      <c r="W65" s="53"/>
      <c r="X65" s="8"/>
      <c r="Y65" s="36">
        <v>0</v>
      </c>
    </row>
    <row r="68" spans="1:26" ht="26.25" customHeight="1" x14ac:dyDescent="0.15">
      <c r="A68" s="66" t="s">
        <v>26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</row>
    <row r="69" spans="1:26" s="17" customFormat="1" ht="40.5" customHeight="1" x14ac:dyDescent="0.15">
      <c r="A69" s="18" t="s">
        <v>27</v>
      </c>
      <c r="B69" s="19" t="s">
        <v>28</v>
      </c>
      <c r="C69" s="20" t="s">
        <v>29</v>
      </c>
      <c r="D69" s="21" t="s">
        <v>11</v>
      </c>
      <c r="E69" s="55" t="s">
        <v>30</v>
      </c>
      <c r="F69" s="18" t="s">
        <v>31</v>
      </c>
      <c r="G69" s="55" t="s">
        <v>32</v>
      </c>
      <c r="H69" s="18" t="s">
        <v>23</v>
      </c>
      <c r="I69" s="18" t="s">
        <v>33</v>
      </c>
      <c r="J69" s="18" t="s">
        <v>34</v>
      </c>
      <c r="K69" s="56" t="s">
        <v>17</v>
      </c>
      <c r="L69" s="22" t="s">
        <v>35</v>
      </c>
      <c r="M69" s="18" t="s">
        <v>19</v>
      </c>
      <c r="N69" s="23" t="s">
        <v>36</v>
      </c>
      <c r="O69" s="18" t="s">
        <v>37</v>
      </c>
      <c r="Q69" s="24" t="s">
        <v>38</v>
      </c>
      <c r="R69" s="24" t="str">
        <f>"净资产"&amp;"(单位:"&amp;X68&amp;"万元)"</f>
        <v>净资产(单位:万元)</v>
      </c>
      <c r="S69" s="18" t="str">
        <f>"投入资产"&amp;"(单位:"&amp;X68&amp;"万元)"</f>
        <v>投入资产(单位:万元)</v>
      </c>
      <c r="T69" s="57" t="s">
        <v>39</v>
      </c>
      <c r="U69" s="18" t="s">
        <v>2</v>
      </c>
      <c r="V69" s="18" t="str">
        <f>"持仓市值"&amp;"(单位:"&amp;X68&amp;"万元)"</f>
        <v>持仓市值(单位:万元)</v>
      </c>
      <c r="W69" s="58" t="s">
        <v>40</v>
      </c>
      <c r="X69" s="56" t="str">
        <f>"资金可用额度"&amp;"(单位:"&amp;X68&amp;"万元)"</f>
        <v>资金可用额度(单位:万元)</v>
      </c>
      <c r="Y69" s="18" t="s">
        <v>24</v>
      </c>
    </row>
    <row r="70" spans="1:26" ht="17.100000000000001" customHeight="1" x14ac:dyDescent="0.15">
      <c r="A70" s="25">
        <v>1</v>
      </c>
      <c r="B70" s="26"/>
      <c r="C70" s="27"/>
      <c r="D70" s="27"/>
      <c r="E70" s="27"/>
      <c r="F70" s="28"/>
      <c r="G70" s="27"/>
      <c r="H70" s="28"/>
      <c r="I70" s="27"/>
      <c r="J70" s="29"/>
      <c r="K70" s="59"/>
      <c r="L70" s="30"/>
      <c r="M70" s="31">
        <v>-0.05</v>
      </c>
      <c r="N70" s="32">
        <v>-0.08</v>
      </c>
      <c r="O70" s="33">
        <v>-0.1</v>
      </c>
      <c r="Q70" s="25">
        <f>IF(WEEKDAY(B70,2)=1,I70/$X$32,0)</f>
        <v>0</v>
      </c>
      <c r="R70" s="60">
        <f>C70/$X$32</f>
        <v>0</v>
      </c>
      <c r="S70" s="60">
        <f>D70/$X$32</f>
        <v>0</v>
      </c>
      <c r="T70" s="60">
        <f>G70</f>
        <v>0</v>
      </c>
      <c r="U70" s="34">
        <f>H70</f>
        <v>0</v>
      </c>
      <c r="V70" s="61">
        <f>I70/$X$32</f>
        <v>0</v>
      </c>
      <c r="W70" s="62">
        <f>IF(D70&gt;500,D70/$X$32,D70)</f>
        <v>0</v>
      </c>
      <c r="X70" s="35">
        <f>K70/$X$32</f>
        <v>0</v>
      </c>
      <c r="Y70" s="36">
        <v>0</v>
      </c>
    </row>
    <row r="71" spans="1:26" ht="17.100000000000001" customHeight="1" x14ac:dyDescent="0.15">
      <c r="A71" s="25">
        <v>2</v>
      </c>
      <c r="B71" s="26"/>
      <c r="C71" s="27"/>
      <c r="D71" s="27"/>
      <c r="E71" s="27"/>
      <c r="F71" s="28"/>
      <c r="G71" s="27"/>
      <c r="H71" s="28"/>
      <c r="I71" s="27"/>
      <c r="J71" s="29"/>
      <c r="K71" s="59"/>
      <c r="L71" s="30"/>
      <c r="M71" s="31">
        <v>-0.05</v>
      </c>
      <c r="N71" s="32">
        <v>-0.08</v>
      </c>
      <c r="O71" s="33">
        <v>-0.1</v>
      </c>
      <c r="Q71" s="25">
        <f t="shared" ref="Q71:Q101" si="5">IF(WEEKDAY(B71,2)=1,I71/$X$32,0)</f>
        <v>0</v>
      </c>
      <c r="R71" s="60">
        <f t="shared" ref="R71:S94" si="6">C71/$X$32</f>
        <v>0</v>
      </c>
      <c r="S71" s="60">
        <f t="shared" si="6"/>
        <v>0</v>
      </c>
      <c r="T71" s="60">
        <f t="shared" ref="T71:U94" si="7">G71</f>
        <v>0</v>
      </c>
      <c r="U71" s="34">
        <f t="shared" si="7"/>
        <v>0</v>
      </c>
      <c r="V71" s="61">
        <f t="shared" ref="V71:V94" si="8">I71/$X$32</f>
        <v>0</v>
      </c>
      <c r="W71" s="62">
        <f t="shared" ref="W71:W94" si="9">IF(D71&gt;500,D71/$X$32,D71)</f>
        <v>0</v>
      </c>
      <c r="X71" s="35">
        <f t="shared" ref="X71:X94" si="10">K71/$X$32</f>
        <v>0</v>
      </c>
      <c r="Y71" s="36">
        <v>0</v>
      </c>
    </row>
    <row r="72" spans="1:26" ht="17.100000000000001" customHeight="1" x14ac:dyDescent="0.15">
      <c r="A72" s="25">
        <v>3</v>
      </c>
      <c r="B72" s="26"/>
      <c r="C72" s="27"/>
      <c r="D72" s="27"/>
      <c r="E72" s="27"/>
      <c r="F72" s="28"/>
      <c r="G72" s="27"/>
      <c r="H72" s="28"/>
      <c r="I72" s="27"/>
      <c r="J72" s="29"/>
      <c r="K72" s="59"/>
      <c r="L72" s="30"/>
      <c r="M72" s="31">
        <v>-0.05</v>
      </c>
      <c r="N72" s="32">
        <v>-0.08</v>
      </c>
      <c r="O72" s="33">
        <v>-0.1</v>
      </c>
      <c r="Q72" s="25">
        <f t="shared" si="5"/>
        <v>0</v>
      </c>
      <c r="R72" s="60">
        <f t="shared" si="6"/>
        <v>0</v>
      </c>
      <c r="S72" s="60">
        <f t="shared" si="6"/>
        <v>0</v>
      </c>
      <c r="T72" s="60">
        <f t="shared" si="7"/>
        <v>0</v>
      </c>
      <c r="U72" s="34">
        <f t="shared" si="7"/>
        <v>0</v>
      </c>
      <c r="V72" s="61">
        <f t="shared" si="8"/>
        <v>0</v>
      </c>
      <c r="W72" s="62">
        <f t="shared" si="9"/>
        <v>0</v>
      </c>
      <c r="X72" s="35">
        <f t="shared" si="10"/>
        <v>0</v>
      </c>
      <c r="Y72" s="36">
        <v>0</v>
      </c>
    </row>
    <row r="73" spans="1:26" s="9" customFormat="1" ht="17.100000000000001" customHeight="1" x14ac:dyDescent="0.15">
      <c r="A73" s="25">
        <v>4</v>
      </c>
      <c r="B73" s="26"/>
      <c r="C73" s="27"/>
      <c r="D73" s="27"/>
      <c r="E73" s="27"/>
      <c r="F73" s="28"/>
      <c r="G73" s="27"/>
      <c r="H73" s="28"/>
      <c r="I73" s="27"/>
      <c r="J73" s="29"/>
      <c r="K73" s="59"/>
      <c r="L73" s="30"/>
      <c r="M73" s="31">
        <v>-0.05</v>
      </c>
      <c r="N73" s="32">
        <v>-0.08</v>
      </c>
      <c r="O73" s="33">
        <v>-0.1</v>
      </c>
      <c r="P73" s="5"/>
      <c r="Q73" s="25">
        <f t="shared" si="5"/>
        <v>0</v>
      </c>
      <c r="R73" s="60">
        <f t="shared" si="6"/>
        <v>0</v>
      </c>
      <c r="S73" s="60">
        <f t="shared" si="6"/>
        <v>0</v>
      </c>
      <c r="T73" s="60">
        <f t="shared" si="7"/>
        <v>0</v>
      </c>
      <c r="U73" s="34">
        <f t="shared" si="7"/>
        <v>0</v>
      </c>
      <c r="V73" s="61">
        <f t="shared" si="8"/>
        <v>0</v>
      </c>
      <c r="W73" s="62">
        <f t="shared" si="9"/>
        <v>0</v>
      </c>
      <c r="X73" s="35">
        <f t="shared" si="10"/>
        <v>0</v>
      </c>
      <c r="Y73" s="36">
        <v>0</v>
      </c>
      <c r="Z73" s="5"/>
    </row>
    <row r="74" spans="1:26" ht="17.100000000000001" customHeight="1" x14ac:dyDescent="0.15">
      <c r="A74" s="25">
        <v>5</v>
      </c>
      <c r="B74" s="26"/>
      <c r="C74" s="27"/>
      <c r="D74" s="27"/>
      <c r="E74" s="27"/>
      <c r="F74" s="28"/>
      <c r="G74" s="27"/>
      <c r="H74" s="28"/>
      <c r="I74" s="27"/>
      <c r="J74" s="29"/>
      <c r="K74" s="59"/>
      <c r="L74" s="30"/>
      <c r="M74" s="31">
        <v>-0.05</v>
      </c>
      <c r="N74" s="32">
        <v>-0.08</v>
      </c>
      <c r="O74" s="33">
        <v>-0.1</v>
      </c>
      <c r="Q74" s="25">
        <f t="shared" si="5"/>
        <v>0</v>
      </c>
      <c r="R74" s="60">
        <f t="shared" si="6"/>
        <v>0</v>
      </c>
      <c r="S74" s="60">
        <f t="shared" si="6"/>
        <v>0</v>
      </c>
      <c r="T74" s="60">
        <f t="shared" si="7"/>
        <v>0</v>
      </c>
      <c r="U74" s="34">
        <f t="shared" si="7"/>
        <v>0</v>
      </c>
      <c r="V74" s="61">
        <f t="shared" si="8"/>
        <v>0</v>
      </c>
      <c r="W74" s="62">
        <f t="shared" si="9"/>
        <v>0</v>
      </c>
      <c r="X74" s="35">
        <f t="shared" si="10"/>
        <v>0</v>
      </c>
      <c r="Y74" s="36">
        <v>0</v>
      </c>
    </row>
    <row r="75" spans="1:26" ht="17.100000000000001" customHeight="1" x14ac:dyDescent="0.15">
      <c r="A75" s="25">
        <v>6</v>
      </c>
      <c r="B75" s="26"/>
      <c r="C75" s="27"/>
      <c r="D75" s="27"/>
      <c r="E75" s="27"/>
      <c r="F75" s="28"/>
      <c r="G75" s="27"/>
      <c r="H75" s="28"/>
      <c r="I75" s="27"/>
      <c r="J75" s="29"/>
      <c r="K75" s="59"/>
      <c r="L75" s="30"/>
      <c r="M75" s="31">
        <v>-0.05</v>
      </c>
      <c r="N75" s="32">
        <v>-0.08</v>
      </c>
      <c r="O75" s="33">
        <v>-0.1</v>
      </c>
      <c r="Q75" s="25">
        <f t="shared" si="5"/>
        <v>0</v>
      </c>
      <c r="R75" s="60">
        <f t="shared" si="6"/>
        <v>0</v>
      </c>
      <c r="S75" s="60">
        <f t="shared" si="6"/>
        <v>0</v>
      </c>
      <c r="T75" s="60">
        <f t="shared" si="7"/>
        <v>0</v>
      </c>
      <c r="U75" s="34">
        <f t="shared" si="7"/>
        <v>0</v>
      </c>
      <c r="V75" s="61">
        <f t="shared" si="8"/>
        <v>0</v>
      </c>
      <c r="W75" s="62">
        <f t="shared" si="9"/>
        <v>0</v>
      </c>
      <c r="X75" s="35">
        <f t="shared" si="10"/>
        <v>0</v>
      </c>
      <c r="Y75" s="36">
        <v>0</v>
      </c>
    </row>
    <row r="76" spans="1:26" ht="17.100000000000001" customHeight="1" x14ac:dyDescent="0.15">
      <c r="A76" s="25">
        <v>7</v>
      </c>
      <c r="B76" s="26"/>
      <c r="C76" s="27"/>
      <c r="D76" s="27"/>
      <c r="E76" s="27"/>
      <c r="F76" s="28"/>
      <c r="G76" s="27"/>
      <c r="H76" s="28"/>
      <c r="I76" s="27"/>
      <c r="J76" s="29"/>
      <c r="K76" s="59"/>
      <c r="L76" s="30"/>
      <c r="M76" s="31">
        <v>-0.05</v>
      </c>
      <c r="N76" s="32">
        <v>-0.08</v>
      </c>
      <c r="O76" s="33">
        <v>-0.1</v>
      </c>
      <c r="Q76" s="25">
        <f t="shared" si="5"/>
        <v>0</v>
      </c>
      <c r="R76" s="60">
        <f t="shared" si="6"/>
        <v>0</v>
      </c>
      <c r="S76" s="60">
        <f t="shared" si="6"/>
        <v>0</v>
      </c>
      <c r="T76" s="60">
        <f t="shared" si="7"/>
        <v>0</v>
      </c>
      <c r="U76" s="34">
        <f t="shared" si="7"/>
        <v>0</v>
      </c>
      <c r="V76" s="61">
        <f t="shared" si="8"/>
        <v>0</v>
      </c>
      <c r="W76" s="62">
        <f t="shared" si="9"/>
        <v>0</v>
      </c>
      <c r="X76" s="35">
        <f t="shared" si="10"/>
        <v>0</v>
      </c>
      <c r="Y76" s="36">
        <v>0</v>
      </c>
    </row>
    <row r="77" spans="1:26" ht="17.100000000000001" customHeight="1" x14ac:dyDescent="0.15">
      <c r="A77" s="25">
        <v>8</v>
      </c>
      <c r="B77" s="26"/>
      <c r="C77" s="27"/>
      <c r="D77" s="27"/>
      <c r="E77" s="27"/>
      <c r="F77" s="28"/>
      <c r="G77" s="27"/>
      <c r="H77" s="28"/>
      <c r="I77" s="27"/>
      <c r="J77" s="29"/>
      <c r="K77" s="59"/>
      <c r="L77" s="30"/>
      <c r="M77" s="31">
        <v>-0.05</v>
      </c>
      <c r="N77" s="32">
        <v>-0.08</v>
      </c>
      <c r="O77" s="33">
        <v>-0.1</v>
      </c>
      <c r="Q77" s="25">
        <f t="shared" si="5"/>
        <v>0</v>
      </c>
      <c r="R77" s="60">
        <f t="shared" si="6"/>
        <v>0</v>
      </c>
      <c r="S77" s="60">
        <f t="shared" si="6"/>
        <v>0</v>
      </c>
      <c r="T77" s="60">
        <f t="shared" si="7"/>
        <v>0</v>
      </c>
      <c r="U77" s="34">
        <f t="shared" si="7"/>
        <v>0</v>
      </c>
      <c r="V77" s="61">
        <f t="shared" si="8"/>
        <v>0</v>
      </c>
      <c r="W77" s="62">
        <f t="shared" si="9"/>
        <v>0</v>
      </c>
      <c r="X77" s="35">
        <f t="shared" si="10"/>
        <v>0</v>
      </c>
      <c r="Y77" s="36">
        <v>0</v>
      </c>
    </row>
    <row r="78" spans="1:26" s="9" customFormat="1" ht="17.100000000000001" customHeight="1" x14ac:dyDescent="0.15">
      <c r="A78" s="25">
        <v>9</v>
      </c>
      <c r="B78" s="26"/>
      <c r="C78" s="27"/>
      <c r="D78" s="27"/>
      <c r="E78" s="27"/>
      <c r="F78" s="28"/>
      <c r="G78" s="27"/>
      <c r="H78" s="28"/>
      <c r="I78" s="27"/>
      <c r="J78" s="29"/>
      <c r="K78" s="59"/>
      <c r="L78" s="30"/>
      <c r="M78" s="31">
        <v>-0.05</v>
      </c>
      <c r="N78" s="32">
        <v>-0.08</v>
      </c>
      <c r="O78" s="33">
        <v>-0.1</v>
      </c>
      <c r="P78" s="5"/>
      <c r="Q78" s="25">
        <f t="shared" si="5"/>
        <v>0</v>
      </c>
      <c r="R78" s="60">
        <f t="shared" si="6"/>
        <v>0</v>
      </c>
      <c r="S78" s="60">
        <f t="shared" si="6"/>
        <v>0</v>
      </c>
      <c r="T78" s="60">
        <f t="shared" si="7"/>
        <v>0</v>
      </c>
      <c r="U78" s="34">
        <f t="shared" si="7"/>
        <v>0</v>
      </c>
      <c r="V78" s="61">
        <f t="shared" si="8"/>
        <v>0</v>
      </c>
      <c r="W78" s="62">
        <f t="shared" si="9"/>
        <v>0</v>
      </c>
      <c r="X78" s="35">
        <f t="shared" si="10"/>
        <v>0</v>
      </c>
      <c r="Y78" s="36">
        <v>0</v>
      </c>
      <c r="Z78" s="5"/>
    </row>
    <row r="79" spans="1:26" s="9" customFormat="1" ht="17.100000000000001" customHeight="1" x14ac:dyDescent="0.15">
      <c r="A79" s="25">
        <v>10</v>
      </c>
      <c r="B79" s="26"/>
      <c r="C79" s="27"/>
      <c r="D79" s="27"/>
      <c r="E79" s="27"/>
      <c r="F79" s="28"/>
      <c r="G79" s="27"/>
      <c r="H79" s="28"/>
      <c r="I79" s="27"/>
      <c r="J79" s="29"/>
      <c r="K79" s="59"/>
      <c r="L79" s="30"/>
      <c r="M79" s="31">
        <v>-0.05</v>
      </c>
      <c r="N79" s="32">
        <v>-0.08</v>
      </c>
      <c r="O79" s="33">
        <v>-0.1</v>
      </c>
      <c r="P79" s="5"/>
      <c r="Q79" s="25">
        <f t="shared" si="5"/>
        <v>0</v>
      </c>
      <c r="R79" s="60">
        <f t="shared" si="6"/>
        <v>0</v>
      </c>
      <c r="S79" s="60">
        <f t="shared" si="6"/>
        <v>0</v>
      </c>
      <c r="T79" s="60">
        <f t="shared" si="7"/>
        <v>0</v>
      </c>
      <c r="U79" s="34">
        <f t="shared" si="7"/>
        <v>0</v>
      </c>
      <c r="V79" s="61">
        <f t="shared" si="8"/>
        <v>0</v>
      </c>
      <c r="W79" s="62">
        <f t="shared" si="9"/>
        <v>0</v>
      </c>
      <c r="X79" s="35">
        <f t="shared" si="10"/>
        <v>0</v>
      </c>
      <c r="Y79" s="36">
        <v>0</v>
      </c>
      <c r="Z79" s="5"/>
    </row>
    <row r="80" spans="1:26" ht="17.100000000000001" customHeight="1" x14ac:dyDescent="0.15">
      <c r="A80" s="25">
        <v>11</v>
      </c>
      <c r="B80" s="26"/>
      <c r="C80" s="27"/>
      <c r="D80" s="27"/>
      <c r="E80" s="27"/>
      <c r="F80" s="28"/>
      <c r="G80" s="27"/>
      <c r="H80" s="28"/>
      <c r="I80" s="27"/>
      <c r="J80" s="29"/>
      <c r="K80" s="59"/>
      <c r="L80" s="30"/>
      <c r="M80" s="31">
        <v>-0.05</v>
      </c>
      <c r="N80" s="32">
        <v>-0.08</v>
      </c>
      <c r="O80" s="33">
        <v>-0.1</v>
      </c>
      <c r="Q80" s="25">
        <f t="shared" si="5"/>
        <v>0</v>
      </c>
      <c r="R80" s="60">
        <f t="shared" si="6"/>
        <v>0</v>
      </c>
      <c r="S80" s="60">
        <f t="shared" si="6"/>
        <v>0</v>
      </c>
      <c r="T80" s="60">
        <f t="shared" si="7"/>
        <v>0</v>
      </c>
      <c r="U80" s="34">
        <f t="shared" si="7"/>
        <v>0</v>
      </c>
      <c r="V80" s="61">
        <f t="shared" si="8"/>
        <v>0</v>
      </c>
      <c r="W80" s="62">
        <f t="shared" si="9"/>
        <v>0</v>
      </c>
      <c r="X80" s="35">
        <f t="shared" si="10"/>
        <v>0</v>
      </c>
      <c r="Y80" s="36">
        <v>0</v>
      </c>
    </row>
    <row r="81" spans="1:26" ht="17.100000000000001" customHeight="1" x14ac:dyDescent="0.15">
      <c r="A81" s="25">
        <v>12</v>
      </c>
      <c r="B81" s="26"/>
      <c r="C81" s="27"/>
      <c r="D81" s="27"/>
      <c r="E81" s="27"/>
      <c r="F81" s="28"/>
      <c r="G81" s="27"/>
      <c r="H81" s="28"/>
      <c r="I81" s="27"/>
      <c r="J81" s="29"/>
      <c r="K81" s="59"/>
      <c r="L81" s="30"/>
      <c r="M81" s="31">
        <v>-0.05</v>
      </c>
      <c r="N81" s="32">
        <v>-0.08</v>
      </c>
      <c r="O81" s="33">
        <v>-0.1</v>
      </c>
      <c r="Q81" s="25">
        <f t="shared" si="5"/>
        <v>0</v>
      </c>
      <c r="R81" s="60">
        <f t="shared" si="6"/>
        <v>0</v>
      </c>
      <c r="S81" s="60">
        <f t="shared" si="6"/>
        <v>0</v>
      </c>
      <c r="T81" s="60">
        <f t="shared" si="7"/>
        <v>0</v>
      </c>
      <c r="U81" s="34">
        <f t="shared" si="7"/>
        <v>0</v>
      </c>
      <c r="V81" s="61">
        <f t="shared" si="8"/>
        <v>0</v>
      </c>
      <c r="W81" s="62">
        <f t="shared" si="9"/>
        <v>0</v>
      </c>
      <c r="X81" s="35">
        <f t="shared" si="10"/>
        <v>0</v>
      </c>
      <c r="Y81" s="36">
        <v>0</v>
      </c>
    </row>
    <row r="82" spans="1:26" ht="17.100000000000001" customHeight="1" x14ac:dyDescent="0.15">
      <c r="A82" s="25">
        <v>13</v>
      </c>
      <c r="B82" s="26"/>
      <c r="C82" s="27"/>
      <c r="D82" s="27"/>
      <c r="E82" s="27"/>
      <c r="F82" s="28"/>
      <c r="G82" s="27"/>
      <c r="H82" s="28"/>
      <c r="I82" s="27"/>
      <c r="J82" s="29"/>
      <c r="K82" s="59"/>
      <c r="L82" s="30"/>
      <c r="M82" s="31">
        <v>-0.05</v>
      </c>
      <c r="N82" s="32">
        <v>-0.08</v>
      </c>
      <c r="O82" s="33">
        <v>-0.1</v>
      </c>
      <c r="Q82" s="25">
        <f t="shared" si="5"/>
        <v>0</v>
      </c>
      <c r="R82" s="60">
        <f t="shared" si="6"/>
        <v>0</v>
      </c>
      <c r="S82" s="60">
        <f t="shared" si="6"/>
        <v>0</v>
      </c>
      <c r="T82" s="60">
        <f t="shared" si="7"/>
        <v>0</v>
      </c>
      <c r="U82" s="34">
        <f t="shared" si="7"/>
        <v>0</v>
      </c>
      <c r="V82" s="61">
        <f t="shared" si="8"/>
        <v>0</v>
      </c>
      <c r="W82" s="62">
        <f t="shared" si="9"/>
        <v>0</v>
      </c>
      <c r="X82" s="35">
        <f t="shared" si="10"/>
        <v>0</v>
      </c>
      <c r="Y82" s="36">
        <v>0</v>
      </c>
    </row>
    <row r="83" spans="1:26" s="9" customFormat="1" ht="17.100000000000001" customHeight="1" x14ac:dyDescent="0.15">
      <c r="A83" s="25">
        <v>14</v>
      </c>
      <c r="B83" s="26"/>
      <c r="C83" s="27"/>
      <c r="D83" s="27"/>
      <c r="E83" s="27"/>
      <c r="F83" s="28"/>
      <c r="G83" s="27"/>
      <c r="H83" s="28"/>
      <c r="I83" s="27"/>
      <c r="J83" s="29"/>
      <c r="K83" s="59"/>
      <c r="L83" s="30"/>
      <c r="M83" s="31">
        <v>-0.05</v>
      </c>
      <c r="N83" s="32">
        <v>-0.08</v>
      </c>
      <c r="O83" s="33">
        <v>-0.1</v>
      </c>
      <c r="P83" s="5"/>
      <c r="Q83" s="25">
        <f t="shared" si="5"/>
        <v>0</v>
      </c>
      <c r="R83" s="60">
        <f t="shared" si="6"/>
        <v>0</v>
      </c>
      <c r="S83" s="60">
        <f t="shared" si="6"/>
        <v>0</v>
      </c>
      <c r="T83" s="60">
        <f t="shared" si="7"/>
        <v>0</v>
      </c>
      <c r="U83" s="34">
        <f t="shared" si="7"/>
        <v>0</v>
      </c>
      <c r="V83" s="61">
        <f t="shared" si="8"/>
        <v>0</v>
      </c>
      <c r="W83" s="62">
        <f t="shared" si="9"/>
        <v>0</v>
      </c>
      <c r="X83" s="35">
        <f t="shared" si="10"/>
        <v>0</v>
      </c>
      <c r="Y83" s="36">
        <v>0</v>
      </c>
      <c r="Z83" s="5"/>
    </row>
    <row r="84" spans="1:26" ht="17.100000000000001" customHeight="1" x14ac:dyDescent="0.15">
      <c r="A84" s="25">
        <v>15</v>
      </c>
      <c r="B84" s="26"/>
      <c r="C84" s="27"/>
      <c r="D84" s="27"/>
      <c r="E84" s="27"/>
      <c r="F84" s="28"/>
      <c r="G84" s="27"/>
      <c r="H84" s="28"/>
      <c r="I84" s="27"/>
      <c r="J84" s="29"/>
      <c r="K84" s="59"/>
      <c r="L84" s="30"/>
      <c r="M84" s="31">
        <v>-0.05</v>
      </c>
      <c r="N84" s="32">
        <v>-0.08</v>
      </c>
      <c r="O84" s="33">
        <v>-0.1</v>
      </c>
      <c r="Q84" s="25">
        <f t="shared" si="5"/>
        <v>0</v>
      </c>
      <c r="R84" s="60">
        <f t="shared" si="6"/>
        <v>0</v>
      </c>
      <c r="S84" s="60">
        <f t="shared" si="6"/>
        <v>0</v>
      </c>
      <c r="T84" s="60">
        <f t="shared" si="7"/>
        <v>0</v>
      </c>
      <c r="U84" s="34">
        <f t="shared" si="7"/>
        <v>0</v>
      </c>
      <c r="V84" s="61">
        <f t="shared" si="8"/>
        <v>0</v>
      </c>
      <c r="W84" s="62">
        <f t="shared" si="9"/>
        <v>0</v>
      </c>
      <c r="X84" s="35">
        <f t="shared" si="10"/>
        <v>0</v>
      </c>
      <c r="Y84" s="36">
        <v>0</v>
      </c>
    </row>
    <row r="85" spans="1:26" ht="17.100000000000001" customHeight="1" x14ac:dyDescent="0.15">
      <c r="A85" s="25">
        <v>16</v>
      </c>
      <c r="B85" s="26"/>
      <c r="C85" s="27"/>
      <c r="D85" s="27"/>
      <c r="E85" s="27"/>
      <c r="F85" s="28"/>
      <c r="G85" s="27"/>
      <c r="H85" s="28"/>
      <c r="I85" s="27"/>
      <c r="J85" s="29"/>
      <c r="K85" s="59"/>
      <c r="L85" s="30"/>
      <c r="M85" s="31">
        <v>-0.05</v>
      </c>
      <c r="N85" s="32">
        <v>-0.08</v>
      </c>
      <c r="O85" s="33">
        <v>-0.1</v>
      </c>
      <c r="Q85" s="25">
        <f t="shared" si="5"/>
        <v>0</v>
      </c>
      <c r="R85" s="60">
        <f t="shared" si="6"/>
        <v>0</v>
      </c>
      <c r="S85" s="60">
        <f t="shared" si="6"/>
        <v>0</v>
      </c>
      <c r="T85" s="60">
        <f t="shared" si="7"/>
        <v>0</v>
      </c>
      <c r="U85" s="34">
        <f t="shared" si="7"/>
        <v>0</v>
      </c>
      <c r="V85" s="61">
        <f t="shared" si="8"/>
        <v>0</v>
      </c>
      <c r="W85" s="62">
        <f t="shared" si="9"/>
        <v>0</v>
      </c>
      <c r="X85" s="35">
        <f t="shared" si="10"/>
        <v>0</v>
      </c>
      <c r="Y85" s="36">
        <v>0</v>
      </c>
    </row>
    <row r="86" spans="1:26" ht="17.100000000000001" customHeight="1" x14ac:dyDescent="0.15">
      <c r="A86" s="25">
        <v>17</v>
      </c>
      <c r="B86" s="26"/>
      <c r="C86" s="27"/>
      <c r="D86" s="27"/>
      <c r="E86" s="27"/>
      <c r="F86" s="28"/>
      <c r="G86" s="27"/>
      <c r="H86" s="28"/>
      <c r="I86" s="27"/>
      <c r="J86" s="29"/>
      <c r="K86" s="59"/>
      <c r="L86" s="30"/>
      <c r="M86" s="31">
        <v>-0.05</v>
      </c>
      <c r="N86" s="32">
        <v>-0.08</v>
      </c>
      <c r="O86" s="33">
        <v>-0.1</v>
      </c>
      <c r="Q86" s="25">
        <f t="shared" si="5"/>
        <v>0</v>
      </c>
      <c r="R86" s="60">
        <f t="shared" si="6"/>
        <v>0</v>
      </c>
      <c r="S86" s="60">
        <f t="shared" si="6"/>
        <v>0</v>
      </c>
      <c r="T86" s="60">
        <f t="shared" si="7"/>
        <v>0</v>
      </c>
      <c r="U86" s="34">
        <f t="shared" si="7"/>
        <v>0</v>
      </c>
      <c r="V86" s="61">
        <f t="shared" si="8"/>
        <v>0</v>
      </c>
      <c r="W86" s="62">
        <f t="shared" si="9"/>
        <v>0</v>
      </c>
      <c r="X86" s="35">
        <f t="shared" si="10"/>
        <v>0</v>
      </c>
      <c r="Y86" s="36">
        <v>0</v>
      </c>
    </row>
    <row r="87" spans="1:26" ht="17.100000000000001" customHeight="1" x14ac:dyDescent="0.15">
      <c r="A87" s="25">
        <v>18</v>
      </c>
      <c r="B87" s="26"/>
      <c r="C87" s="27"/>
      <c r="D87" s="27"/>
      <c r="E87" s="27"/>
      <c r="F87" s="28"/>
      <c r="G87" s="27"/>
      <c r="H87" s="28"/>
      <c r="I87" s="27"/>
      <c r="J87" s="29"/>
      <c r="K87" s="59"/>
      <c r="L87" s="30"/>
      <c r="M87" s="31">
        <v>-0.05</v>
      </c>
      <c r="N87" s="32">
        <v>-0.08</v>
      </c>
      <c r="O87" s="33">
        <v>-0.1</v>
      </c>
      <c r="Q87" s="25">
        <f t="shared" si="5"/>
        <v>0</v>
      </c>
      <c r="R87" s="60">
        <f t="shared" si="6"/>
        <v>0</v>
      </c>
      <c r="S87" s="60">
        <f t="shared" si="6"/>
        <v>0</v>
      </c>
      <c r="T87" s="60">
        <f t="shared" si="7"/>
        <v>0</v>
      </c>
      <c r="U87" s="34">
        <f t="shared" si="7"/>
        <v>0</v>
      </c>
      <c r="V87" s="61">
        <f t="shared" si="8"/>
        <v>0</v>
      </c>
      <c r="W87" s="62">
        <f t="shared" si="9"/>
        <v>0</v>
      </c>
      <c r="X87" s="35">
        <f t="shared" si="10"/>
        <v>0</v>
      </c>
      <c r="Y87" s="36">
        <v>0</v>
      </c>
    </row>
    <row r="88" spans="1:26" s="9" customFormat="1" ht="17.100000000000001" customHeight="1" x14ac:dyDescent="0.15">
      <c r="A88" s="25">
        <v>19</v>
      </c>
      <c r="B88" s="26"/>
      <c r="C88" s="27"/>
      <c r="D88" s="27"/>
      <c r="E88" s="27"/>
      <c r="F88" s="28"/>
      <c r="G88" s="27"/>
      <c r="H88" s="28"/>
      <c r="I88" s="27"/>
      <c r="J88" s="29"/>
      <c r="K88" s="59"/>
      <c r="L88" s="30"/>
      <c r="M88" s="31">
        <v>-0.05</v>
      </c>
      <c r="N88" s="32">
        <v>-0.08</v>
      </c>
      <c r="O88" s="33">
        <v>-0.1</v>
      </c>
      <c r="P88" s="5"/>
      <c r="Q88" s="25">
        <f t="shared" si="5"/>
        <v>0</v>
      </c>
      <c r="R88" s="60">
        <f t="shared" si="6"/>
        <v>0</v>
      </c>
      <c r="S88" s="60">
        <f t="shared" si="6"/>
        <v>0</v>
      </c>
      <c r="T88" s="60">
        <f t="shared" si="7"/>
        <v>0</v>
      </c>
      <c r="U88" s="34">
        <f t="shared" si="7"/>
        <v>0</v>
      </c>
      <c r="V88" s="61">
        <f t="shared" si="8"/>
        <v>0</v>
      </c>
      <c r="W88" s="62">
        <f t="shared" si="9"/>
        <v>0</v>
      </c>
      <c r="X88" s="35">
        <f t="shared" si="10"/>
        <v>0</v>
      </c>
      <c r="Y88" s="36">
        <v>0</v>
      </c>
      <c r="Z88" s="5"/>
    </row>
    <row r="89" spans="1:26" s="9" customFormat="1" ht="17.100000000000001" customHeight="1" x14ac:dyDescent="0.15">
      <c r="A89" s="25">
        <v>20</v>
      </c>
      <c r="B89" s="26"/>
      <c r="C89" s="27"/>
      <c r="D89" s="27"/>
      <c r="E89" s="27"/>
      <c r="F89" s="28"/>
      <c r="G89" s="27"/>
      <c r="H89" s="28"/>
      <c r="I89" s="27"/>
      <c r="J89" s="29"/>
      <c r="K89" s="59"/>
      <c r="L89" s="30"/>
      <c r="M89" s="31">
        <v>-0.05</v>
      </c>
      <c r="N89" s="32">
        <v>-0.08</v>
      </c>
      <c r="O89" s="33">
        <v>-0.1</v>
      </c>
      <c r="P89" s="5"/>
      <c r="Q89" s="25">
        <f t="shared" si="5"/>
        <v>0</v>
      </c>
      <c r="R89" s="60">
        <f t="shared" si="6"/>
        <v>0</v>
      </c>
      <c r="S89" s="60">
        <f t="shared" si="6"/>
        <v>0</v>
      </c>
      <c r="T89" s="60">
        <f t="shared" si="7"/>
        <v>0</v>
      </c>
      <c r="U89" s="34">
        <f t="shared" si="7"/>
        <v>0</v>
      </c>
      <c r="V89" s="61">
        <f t="shared" si="8"/>
        <v>0</v>
      </c>
      <c r="W89" s="62">
        <f t="shared" si="9"/>
        <v>0</v>
      </c>
      <c r="X89" s="35">
        <f t="shared" si="10"/>
        <v>0</v>
      </c>
      <c r="Y89" s="36">
        <v>0</v>
      </c>
      <c r="Z89" s="5"/>
    </row>
    <row r="90" spans="1:26" ht="17.100000000000001" customHeight="1" x14ac:dyDescent="0.15">
      <c r="A90" s="25">
        <v>21</v>
      </c>
      <c r="B90" s="26"/>
      <c r="C90" s="27"/>
      <c r="D90" s="27"/>
      <c r="E90" s="27"/>
      <c r="F90" s="28"/>
      <c r="G90" s="27"/>
      <c r="H90" s="28"/>
      <c r="I90" s="27"/>
      <c r="J90" s="29"/>
      <c r="K90" s="59"/>
      <c r="L90" s="30"/>
      <c r="M90" s="31">
        <v>-0.05</v>
      </c>
      <c r="N90" s="32">
        <v>-0.08</v>
      </c>
      <c r="O90" s="33">
        <v>-0.1</v>
      </c>
      <c r="Q90" s="25">
        <f t="shared" si="5"/>
        <v>0</v>
      </c>
      <c r="R90" s="60">
        <f t="shared" si="6"/>
        <v>0</v>
      </c>
      <c r="S90" s="60">
        <f t="shared" si="6"/>
        <v>0</v>
      </c>
      <c r="T90" s="60">
        <f t="shared" si="7"/>
        <v>0</v>
      </c>
      <c r="U90" s="34">
        <f t="shared" si="7"/>
        <v>0</v>
      </c>
      <c r="V90" s="61">
        <f t="shared" si="8"/>
        <v>0</v>
      </c>
      <c r="W90" s="62">
        <f t="shared" si="9"/>
        <v>0</v>
      </c>
      <c r="X90" s="35">
        <f t="shared" si="10"/>
        <v>0</v>
      </c>
      <c r="Y90" s="36">
        <v>0</v>
      </c>
    </row>
    <row r="91" spans="1:26" ht="17.100000000000001" customHeight="1" x14ac:dyDescent="0.15">
      <c r="A91" s="25">
        <v>22</v>
      </c>
      <c r="B91" s="26"/>
      <c r="C91" s="27"/>
      <c r="D91" s="27"/>
      <c r="E91" s="27"/>
      <c r="F91" s="28"/>
      <c r="G91" s="27"/>
      <c r="H91" s="28"/>
      <c r="I91" s="27"/>
      <c r="J91" s="29"/>
      <c r="K91" s="59"/>
      <c r="L91" s="30"/>
      <c r="M91" s="31">
        <v>-0.05</v>
      </c>
      <c r="N91" s="32">
        <v>-0.08</v>
      </c>
      <c r="O91" s="33">
        <v>-0.1</v>
      </c>
      <c r="Q91" s="25">
        <f t="shared" si="5"/>
        <v>0</v>
      </c>
      <c r="R91" s="60">
        <f t="shared" si="6"/>
        <v>0</v>
      </c>
      <c r="S91" s="60">
        <f t="shared" si="6"/>
        <v>0</v>
      </c>
      <c r="T91" s="60">
        <f t="shared" si="7"/>
        <v>0</v>
      </c>
      <c r="U91" s="34">
        <f t="shared" si="7"/>
        <v>0</v>
      </c>
      <c r="V91" s="61">
        <f t="shared" si="8"/>
        <v>0</v>
      </c>
      <c r="W91" s="62">
        <f t="shared" si="9"/>
        <v>0</v>
      </c>
      <c r="X91" s="35">
        <f t="shared" si="10"/>
        <v>0</v>
      </c>
      <c r="Y91" s="36">
        <v>0</v>
      </c>
    </row>
    <row r="92" spans="1:26" s="42" customFormat="1" ht="17.100000000000001" customHeight="1" x14ac:dyDescent="0.15">
      <c r="A92" s="37">
        <v>23</v>
      </c>
      <c r="B92" s="26"/>
      <c r="C92" s="27"/>
      <c r="D92" s="27"/>
      <c r="E92" s="27"/>
      <c r="F92" s="28"/>
      <c r="G92" s="27"/>
      <c r="H92" s="28"/>
      <c r="I92" s="27"/>
      <c r="J92" s="29"/>
      <c r="K92" s="59"/>
      <c r="L92" s="38"/>
      <c r="M92" s="39">
        <v>-0.05</v>
      </c>
      <c r="N92" s="40">
        <v>-0.08</v>
      </c>
      <c r="O92" s="41">
        <v>-0.1</v>
      </c>
      <c r="Q92" s="25">
        <f t="shared" si="5"/>
        <v>0</v>
      </c>
      <c r="R92" s="60">
        <f t="shared" si="6"/>
        <v>0</v>
      </c>
      <c r="S92" s="63">
        <f t="shared" si="6"/>
        <v>0</v>
      </c>
      <c r="T92" s="63">
        <f t="shared" si="7"/>
        <v>0</v>
      </c>
      <c r="U92" s="43">
        <f t="shared" si="7"/>
        <v>0</v>
      </c>
      <c r="V92" s="63">
        <f t="shared" si="8"/>
        <v>0</v>
      </c>
      <c r="W92" s="62">
        <f t="shared" si="9"/>
        <v>0</v>
      </c>
      <c r="X92" s="44">
        <f t="shared" si="10"/>
        <v>0</v>
      </c>
      <c r="Y92" s="45">
        <v>0</v>
      </c>
      <c r="Z92" s="5"/>
    </row>
    <row r="93" spans="1:26" s="9" customFormat="1" ht="17.100000000000001" customHeight="1" x14ac:dyDescent="0.15">
      <c r="A93" s="25">
        <v>24</v>
      </c>
      <c r="B93" s="26"/>
      <c r="C93" s="27"/>
      <c r="D93" s="27"/>
      <c r="E93" s="27"/>
      <c r="F93" s="28"/>
      <c r="G93" s="27"/>
      <c r="H93" s="28"/>
      <c r="I93" s="27"/>
      <c r="J93" s="29"/>
      <c r="K93" s="59"/>
      <c r="L93" s="30"/>
      <c r="M93" s="31">
        <v>-0.05</v>
      </c>
      <c r="N93" s="32">
        <v>-0.08</v>
      </c>
      <c r="O93" s="33">
        <v>-0.1</v>
      </c>
      <c r="P93" s="5"/>
      <c r="Q93" s="25">
        <f t="shared" si="5"/>
        <v>0</v>
      </c>
      <c r="R93" s="60">
        <f t="shared" si="6"/>
        <v>0</v>
      </c>
      <c r="S93" s="60">
        <f t="shared" si="6"/>
        <v>0</v>
      </c>
      <c r="T93" s="60">
        <f t="shared" si="7"/>
        <v>0</v>
      </c>
      <c r="U93" s="34">
        <f t="shared" si="7"/>
        <v>0</v>
      </c>
      <c r="V93" s="61">
        <f t="shared" si="8"/>
        <v>0</v>
      </c>
      <c r="W93" s="62">
        <f t="shared" si="9"/>
        <v>0</v>
      </c>
      <c r="X93" s="35">
        <f t="shared" si="10"/>
        <v>0</v>
      </c>
      <c r="Y93" s="36">
        <v>0</v>
      </c>
      <c r="Z93" s="5"/>
    </row>
    <row r="94" spans="1:26" ht="17.100000000000001" customHeight="1" x14ac:dyDescent="0.15">
      <c r="A94" s="25">
        <v>25</v>
      </c>
      <c r="B94" s="26"/>
      <c r="C94" s="27"/>
      <c r="D94" s="27"/>
      <c r="E94" s="27"/>
      <c r="F94" s="28"/>
      <c r="G94" s="27"/>
      <c r="H94" s="28"/>
      <c r="I94" s="27"/>
      <c r="J94" s="29"/>
      <c r="K94" s="59"/>
      <c r="L94" s="30"/>
      <c r="M94" s="31">
        <v>-0.05</v>
      </c>
      <c r="N94" s="32">
        <v>-0.08</v>
      </c>
      <c r="O94" s="33">
        <v>-0.1</v>
      </c>
      <c r="Q94" s="25">
        <f t="shared" si="5"/>
        <v>0</v>
      </c>
      <c r="R94" s="60">
        <f t="shared" si="6"/>
        <v>0</v>
      </c>
      <c r="S94" s="60">
        <f t="shared" si="6"/>
        <v>0</v>
      </c>
      <c r="T94" s="60">
        <f t="shared" si="7"/>
        <v>0</v>
      </c>
      <c r="U94" s="34">
        <f t="shared" si="7"/>
        <v>0</v>
      </c>
      <c r="V94" s="61">
        <f t="shared" si="8"/>
        <v>0</v>
      </c>
      <c r="W94" s="62">
        <f t="shared" si="9"/>
        <v>0</v>
      </c>
      <c r="X94" s="35">
        <f t="shared" si="10"/>
        <v>0</v>
      </c>
      <c r="Y94" s="36">
        <v>0</v>
      </c>
    </row>
    <row r="95" spans="1:26" x14ac:dyDescent="0.15">
      <c r="A95" s="46"/>
      <c r="C95" s="47"/>
      <c r="J95" s="48"/>
      <c r="K95" s="48"/>
      <c r="M95" s="31">
        <v>-0.05</v>
      </c>
      <c r="Q95" s="25">
        <f t="shared" si="5"/>
        <v>0</v>
      </c>
      <c r="R95" s="60"/>
      <c r="Y95" s="36">
        <v>0</v>
      </c>
    </row>
    <row r="96" spans="1:26" x14ac:dyDescent="0.15">
      <c r="A96" s="46"/>
      <c r="M96" s="31">
        <v>-0.05</v>
      </c>
      <c r="Q96" s="25">
        <f t="shared" si="5"/>
        <v>0</v>
      </c>
      <c r="R96" s="60"/>
      <c r="Y96" s="36">
        <v>0</v>
      </c>
    </row>
    <row r="97" spans="1:26" x14ac:dyDescent="0.15">
      <c r="M97" s="31">
        <v>-0.05</v>
      </c>
      <c r="Q97" s="25">
        <f t="shared" si="5"/>
        <v>0</v>
      </c>
      <c r="R97" s="60"/>
      <c r="Y97" s="36">
        <v>0</v>
      </c>
    </row>
    <row r="98" spans="1:26" x14ac:dyDescent="0.15">
      <c r="M98" s="31">
        <v>-0.05</v>
      </c>
      <c r="Q98" s="25">
        <f t="shared" si="5"/>
        <v>0</v>
      </c>
      <c r="R98" s="60"/>
      <c r="Y98" s="36">
        <v>0</v>
      </c>
    </row>
    <row r="99" spans="1:26" x14ac:dyDescent="0.15">
      <c r="M99" s="31">
        <v>-0.05</v>
      </c>
      <c r="Q99" s="25">
        <f t="shared" si="5"/>
        <v>0</v>
      </c>
      <c r="R99" s="60"/>
      <c r="Y99" s="36">
        <v>0</v>
      </c>
    </row>
    <row r="100" spans="1:26" x14ac:dyDescent="0.15">
      <c r="M100" s="31">
        <v>-0.05</v>
      </c>
      <c r="Q100" s="25">
        <f t="shared" si="5"/>
        <v>0</v>
      </c>
      <c r="R100" s="60"/>
      <c r="Y100" s="36">
        <v>0</v>
      </c>
    </row>
    <row r="101" spans="1:26" s="9" customFormat="1" ht="13.5" x14ac:dyDescent="0.15">
      <c r="B101" s="1"/>
      <c r="C101" s="2"/>
      <c r="D101" s="3"/>
      <c r="E101" s="3"/>
      <c r="F101" s="5"/>
      <c r="G101" s="3"/>
      <c r="H101" s="5"/>
      <c r="I101" s="5"/>
      <c r="J101" s="5"/>
      <c r="K101" s="64"/>
      <c r="L101" s="6"/>
      <c r="M101" s="31">
        <v>-0.05</v>
      </c>
      <c r="N101" s="7"/>
      <c r="O101" s="5"/>
      <c r="P101" s="5"/>
      <c r="Q101" s="25">
        <f t="shared" si="5"/>
        <v>0</v>
      </c>
      <c r="R101" s="60"/>
      <c r="S101" s="8"/>
      <c r="T101" s="8"/>
      <c r="U101" s="8"/>
      <c r="V101" s="8"/>
      <c r="W101" s="53"/>
      <c r="X101" s="8"/>
      <c r="Y101" s="36">
        <v>0</v>
      </c>
    </row>
    <row r="102" spans="1:26" x14ac:dyDescent="0.15">
      <c r="Q102" s="5"/>
      <c r="R102" s="5"/>
      <c r="S102" s="5"/>
      <c r="T102" s="5"/>
      <c r="U102" s="5"/>
      <c r="V102" s="5"/>
      <c r="W102" s="65"/>
      <c r="X102" s="5"/>
      <c r="Y102" s="5"/>
    </row>
    <row r="103" spans="1:26" x14ac:dyDescent="0.15">
      <c r="Q103" s="5"/>
      <c r="R103" s="5"/>
      <c r="S103" s="5"/>
      <c r="T103" s="5"/>
      <c r="U103" s="5"/>
      <c r="V103" s="5"/>
      <c r="W103" s="65"/>
      <c r="X103" s="5"/>
      <c r="Y103" s="5"/>
    </row>
    <row r="104" spans="1:26" ht="26.25" customHeight="1" x14ac:dyDescent="0.15">
      <c r="A104" s="66" t="s">
        <v>6</v>
      </c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</row>
    <row r="105" spans="1:26" s="17" customFormat="1" ht="40.5" customHeight="1" x14ac:dyDescent="0.15">
      <c r="A105" s="18" t="s">
        <v>7</v>
      </c>
      <c r="B105" s="19" t="s">
        <v>41</v>
      </c>
      <c r="C105" s="20" t="s">
        <v>9</v>
      </c>
      <c r="D105" s="21" t="s">
        <v>42</v>
      </c>
      <c r="E105" s="55" t="s">
        <v>0</v>
      </c>
      <c r="F105" s="18" t="s">
        <v>43</v>
      </c>
      <c r="G105" s="55" t="s">
        <v>13</v>
      </c>
      <c r="H105" s="18" t="s">
        <v>2</v>
      </c>
      <c r="I105" s="18" t="s">
        <v>14</v>
      </c>
      <c r="J105" s="18" t="s">
        <v>15</v>
      </c>
      <c r="K105" s="56" t="s">
        <v>16</v>
      </c>
      <c r="L105" s="22" t="s">
        <v>35</v>
      </c>
      <c r="M105" s="18" t="s">
        <v>44</v>
      </c>
      <c r="N105" s="23" t="s">
        <v>4</v>
      </c>
      <c r="O105" s="18" t="s">
        <v>20</v>
      </c>
      <c r="Q105" s="24" t="s">
        <v>5</v>
      </c>
      <c r="R105" s="24" t="str">
        <f>"净资产"&amp;"(单位:"&amp;X104&amp;"万元)"</f>
        <v>净资产(单位:万元)</v>
      </c>
      <c r="S105" s="18" t="str">
        <f>"投入资产"&amp;"(单位:"&amp;X104&amp;"万元)"</f>
        <v>投入资产(单位:万元)</v>
      </c>
      <c r="T105" s="57" t="s">
        <v>39</v>
      </c>
      <c r="U105" s="18" t="s">
        <v>2</v>
      </c>
      <c r="V105" s="18" t="str">
        <f>"持仓市值"&amp;"(单位:"&amp;X104&amp;"万元)"</f>
        <v>持仓市值(单位:万元)</v>
      </c>
      <c r="W105" s="58" t="s">
        <v>1</v>
      </c>
      <c r="X105" s="56" t="str">
        <f>"资金可用额度"&amp;"(单位:"&amp;X104&amp;"万元)"</f>
        <v>资金可用额度(单位:万元)</v>
      </c>
      <c r="Y105" s="18" t="s">
        <v>24</v>
      </c>
    </row>
    <row r="106" spans="1:26" ht="17.100000000000001" customHeight="1" x14ac:dyDescent="0.15">
      <c r="A106" s="25">
        <v>1</v>
      </c>
      <c r="B106" s="26"/>
      <c r="C106" s="27"/>
      <c r="D106" s="27"/>
      <c r="E106" s="27"/>
      <c r="F106" s="28"/>
      <c r="G106" s="27"/>
      <c r="H106" s="28"/>
      <c r="I106" s="27"/>
      <c r="J106" s="29"/>
      <c r="K106" s="59"/>
      <c r="L106" s="30"/>
      <c r="M106" s="31">
        <v>-0.05</v>
      </c>
      <c r="N106" s="32">
        <v>-0.08</v>
      </c>
      <c r="O106" s="33">
        <v>-0.1</v>
      </c>
      <c r="Q106" s="25">
        <f>IF(WEEKDAY(B106,2)=1,I106/$X$32,0)</f>
        <v>0</v>
      </c>
      <c r="R106" s="60">
        <f>C106/$X$32</f>
        <v>0</v>
      </c>
      <c r="S106" s="60">
        <f>D106/$X$32</f>
        <v>0</v>
      </c>
      <c r="T106" s="60">
        <f>G106</f>
        <v>0</v>
      </c>
      <c r="U106" s="34">
        <f>H106</f>
        <v>0</v>
      </c>
      <c r="V106" s="61">
        <f>I106/$X$32</f>
        <v>0</v>
      </c>
      <c r="W106" s="62">
        <f>IF(D106&gt;500,D106/$X$32,D106)</f>
        <v>0</v>
      </c>
      <c r="X106" s="35">
        <f>K106/$X$32</f>
        <v>0</v>
      </c>
      <c r="Y106" s="36">
        <v>0</v>
      </c>
    </row>
    <row r="107" spans="1:26" ht="17.100000000000001" customHeight="1" x14ac:dyDescent="0.15">
      <c r="A107" s="25">
        <v>2</v>
      </c>
      <c r="B107" s="26"/>
      <c r="C107" s="27"/>
      <c r="D107" s="27"/>
      <c r="E107" s="27"/>
      <c r="F107" s="28"/>
      <c r="G107" s="27"/>
      <c r="H107" s="28"/>
      <c r="I107" s="27"/>
      <c r="J107" s="29"/>
      <c r="K107" s="59"/>
      <c r="L107" s="30"/>
      <c r="M107" s="31">
        <v>-0.05</v>
      </c>
      <c r="N107" s="32">
        <v>-0.08</v>
      </c>
      <c r="O107" s="33">
        <v>-0.1</v>
      </c>
      <c r="Q107" s="25">
        <f t="shared" ref="Q107:Q137" si="11">IF(WEEKDAY(B107,2)=1,I107/$X$32,0)</f>
        <v>0</v>
      </c>
      <c r="R107" s="60">
        <f t="shared" ref="R107:S130" si="12">C107/$X$32</f>
        <v>0</v>
      </c>
      <c r="S107" s="60">
        <f t="shared" si="12"/>
        <v>0</v>
      </c>
      <c r="T107" s="60">
        <f t="shared" ref="T107:U130" si="13">G107</f>
        <v>0</v>
      </c>
      <c r="U107" s="34">
        <f t="shared" si="13"/>
        <v>0</v>
      </c>
      <c r="V107" s="61">
        <f t="shared" ref="V107:V130" si="14">I107/$X$32</f>
        <v>0</v>
      </c>
      <c r="W107" s="62">
        <f t="shared" ref="W107:W130" si="15">IF(D107&gt;500,D107/$X$32,D107)</f>
        <v>0</v>
      </c>
      <c r="X107" s="35">
        <f t="shared" ref="X107:X130" si="16">K107/$X$32</f>
        <v>0</v>
      </c>
      <c r="Y107" s="36">
        <v>0</v>
      </c>
    </row>
    <row r="108" spans="1:26" ht="17.100000000000001" customHeight="1" x14ac:dyDescent="0.15">
      <c r="A108" s="25">
        <v>3</v>
      </c>
      <c r="B108" s="26"/>
      <c r="C108" s="27"/>
      <c r="D108" s="27"/>
      <c r="E108" s="27"/>
      <c r="F108" s="28"/>
      <c r="G108" s="27"/>
      <c r="H108" s="28"/>
      <c r="I108" s="27"/>
      <c r="J108" s="29"/>
      <c r="K108" s="59"/>
      <c r="L108" s="30"/>
      <c r="M108" s="31">
        <v>-0.05</v>
      </c>
      <c r="N108" s="32">
        <v>-0.08</v>
      </c>
      <c r="O108" s="33">
        <v>-0.1</v>
      </c>
      <c r="Q108" s="25">
        <f t="shared" si="11"/>
        <v>0</v>
      </c>
      <c r="R108" s="60">
        <f t="shared" si="12"/>
        <v>0</v>
      </c>
      <c r="S108" s="60">
        <f t="shared" si="12"/>
        <v>0</v>
      </c>
      <c r="T108" s="60">
        <f t="shared" si="13"/>
        <v>0</v>
      </c>
      <c r="U108" s="34">
        <f t="shared" si="13"/>
        <v>0</v>
      </c>
      <c r="V108" s="61">
        <f t="shared" si="14"/>
        <v>0</v>
      </c>
      <c r="W108" s="62">
        <f t="shared" si="15"/>
        <v>0</v>
      </c>
      <c r="X108" s="35">
        <f t="shared" si="16"/>
        <v>0</v>
      </c>
      <c r="Y108" s="36">
        <v>0</v>
      </c>
    </row>
    <row r="109" spans="1:26" s="9" customFormat="1" ht="17.100000000000001" customHeight="1" x14ac:dyDescent="0.15">
      <c r="A109" s="25">
        <v>4</v>
      </c>
      <c r="B109" s="26"/>
      <c r="C109" s="27"/>
      <c r="D109" s="27"/>
      <c r="E109" s="27"/>
      <c r="F109" s="28"/>
      <c r="G109" s="27"/>
      <c r="H109" s="28"/>
      <c r="I109" s="27"/>
      <c r="J109" s="29"/>
      <c r="K109" s="59"/>
      <c r="L109" s="30"/>
      <c r="M109" s="31">
        <v>-0.05</v>
      </c>
      <c r="N109" s="32">
        <v>-0.08</v>
      </c>
      <c r="O109" s="33">
        <v>-0.1</v>
      </c>
      <c r="P109" s="5"/>
      <c r="Q109" s="25">
        <f t="shared" si="11"/>
        <v>0</v>
      </c>
      <c r="R109" s="60">
        <f t="shared" si="12"/>
        <v>0</v>
      </c>
      <c r="S109" s="60">
        <f t="shared" si="12"/>
        <v>0</v>
      </c>
      <c r="T109" s="60">
        <f t="shared" si="13"/>
        <v>0</v>
      </c>
      <c r="U109" s="34">
        <f t="shared" si="13"/>
        <v>0</v>
      </c>
      <c r="V109" s="61">
        <f t="shared" si="14"/>
        <v>0</v>
      </c>
      <c r="W109" s="62">
        <f t="shared" si="15"/>
        <v>0</v>
      </c>
      <c r="X109" s="35">
        <f t="shared" si="16"/>
        <v>0</v>
      </c>
      <c r="Y109" s="36">
        <v>0</v>
      </c>
      <c r="Z109" s="5"/>
    </row>
    <row r="110" spans="1:26" ht="17.100000000000001" customHeight="1" x14ac:dyDescent="0.15">
      <c r="A110" s="25">
        <v>5</v>
      </c>
      <c r="B110" s="26"/>
      <c r="C110" s="27"/>
      <c r="D110" s="27"/>
      <c r="E110" s="27"/>
      <c r="F110" s="28"/>
      <c r="G110" s="27"/>
      <c r="H110" s="28"/>
      <c r="I110" s="27"/>
      <c r="J110" s="29"/>
      <c r="K110" s="59"/>
      <c r="L110" s="30"/>
      <c r="M110" s="31">
        <v>-0.05</v>
      </c>
      <c r="N110" s="32">
        <v>-0.08</v>
      </c>
      <c r="O110" s="33">
        <v>-0.1</v>
      </c>
      <c r="Q110" s="25">
        <f t="shared" si="11"/>
        <v>0</v>
      </c>
      <c r="R110" s="60">
        <f t="shared" si="12"/>
        <v>0</v>
      </c>
      <c r="S110" s="60">
        <f t="shared" si="12"/>
        <v>0</v>
      </c>
      <c r="T110" s="60">
        <f t="shared" si="13"/>
        <v>0</v>
      </c>
      <c r="U110" s="34">
        <f t="shared" si="13"/>
        <v>0</v>
      </c>
      <c r="V110" s="61">
        <f t="shared" si="14"/>
        <v>0</v>
      </c>
      <c r="W110" s="62">
        <f t="shared" si="15"/>
        <v>0</v>
      </c>
      <c r="X110" s="35">
        <f t="shared" si="16"/>
        <v>0</v>
      </c>
      <c r="Y110" s="36">
        <v>0</v>
      </c>
    </row>
    <row r="111" spans="1:26" ht="17.100000000000001" customHeight="1" x14ac:dyDescent="0.15">
      <c r="A111" s="25">
        <v>6</v>
      </c>
      <c r="B111" s="26"/>
      <c r="C111" s="27"/>
      <c r="D111" s="27"/>
      <c r="E111" s="27"/>
      <c r="F111" s="28"/>
      <c r="G111" s="27"/>
      <c r="H111" s="28"/>
      <c r="I111" s="27"/>
      <c r="J111" s="29"/>
      <c r="K111" s="59"/>
      <c r="L111" s="30"/>
      <c r="M111" s="31">
        <v>-0.05</v>
      </c>
      <c r="N111" s="32">
        <v>-0.08</v>
      </c>
      <c r="O111" s="33">
        <v>-0.1</v>
      </c>
      <c r="Q111" s="25">
        <f t="shared" si="11"/>
        <v>0</v>
      </c>
      <c r="R111" s="60">
        <f t="shared" si="12"/>
        <v>0</v>
      </c>
      <c r="S111" s="60">
        <f t="shared" si="12"/>
        <v>0</v>
      </c>
      <c r="T111" s="60">
        <f t="shared" si="13"/>
        <v>0</v>
      </c>
      <c r="U111" s="34">
        <f t="shared" si="13"/>
        <v>0</v>
      </c>
      <c r="V111" s="61">
        <f t="shared" si="14"/>
        <v>0</v>
      </c>
      <c r="W111" s="62">
        <f t="shared" si="15"/>
        <v>0</v>
      </c>
      <c r="X111" s="35">
        <f t="shared" si="16"/>
        <v>0</v>
      </c>
      <c r="Y111" s="36">
        <v>0</v>
      </c>
    </row>
    <row r="112" spans="1:26" ht="17.100000000000001" customHeight="1" x14ac:dyDescent="0.15">
      <c r="A112" s="25">
        <v>7</v>
      </c>
      <c r="B112" s="26"/>
      <c r="C112" s="27"/>
      <c r="D112" s="27"/>
      <c r="E112" s="27"/>
      <c r="F112" s="28"/>
      <c r="G112" s="27"/>
      <c r="H112" s="28"/>
      <c r="I112" s="27"/>
      <c r="J112" s="29"/>
      <c r="K112" s="59"/>
      <c r="L112" s="30"/>
      <c r="M112" s="31">
        <v>-0.05</v>
      </c>
      <c r="N112" s="32">
        <v>-0.08</v>
      </c>
      <c r="O112" s="33">
        <v>-0.1</v>
      </c>
      <c r="Q112" s="25">
        <f t="shared" si="11"/>
        <v>0</v>
      </c>
      <c r="R112" s="60">
        <f t="shared" si="12"/>
        <v>0</v>
      </c>
      <c r="S112" s="60">
        <f t="shared" si="12"/>
        <v>0</v>
      </c>
      <c r="T112" s="60">
        <f t="shared" si="13"/>
        <v>0</v>
      </c>
      <c r="U112" s="34">
        <f t="shared" si="13"/>
        <v>0</v>
      </c>
      <c r="V112" s="61">
        <f t="shared" si="14"/>
        <v>0</v>
      </c>
      <c r="W112" s="62">
        <f t="shared" si="15"/>
        <v>0</v>
      </c>
      <c r="X112" s="35">
        <f t="shared" si="16"/>
        <v>0</v>
      </c>
      <c r="Y112" s="36">
        <v>0</v>
      </c>
    </row>
    <row r="113" spans="1:26" ht="17.100000000000001" customHeight="1" x14ac:dyDescent="0.15">
      <c r="A113" s="25">
        <v>8</v>
      </c>
      <c r="B113" s="26"/>
      <c r="C113" s="27"/>
      <c r="D113" s="27"/>
      <c r="E113" s="27"/>
      <c r="F113" s="28"/>
      <c r="G113" s="27"/>
      <c r="H113" s="28"/>
      <c r="I113" s="27"/>
      <c r="J113" s="29"/>
      <c r="K113" s="59"/>
      <c r="L113" s="30"/>
      <c r="M113" s="31">
        <v>-0.05</v>
      </c>
      <c r="N113" s="32">
        <v>-0.08</v>
      </c>
      <c r="O113" s="33">
        <v>-0.1</v>
      </c>
      <c r="Q113" s="25">
        <f t="shared" si="11"/>
        <v>0</v>
      </c>
      <c r="R113" s="60">
        <f t="shared" si="12"/>
        <v>0</v>
      </c>
      <c r="S113" s="60">
        <f t="shared" si="12"/>
        <v>0</v>
      </c>
      <c r="T113" s="60">
        <f t="shared" si="13"/>
        <v>0</v>
      </c>
      <c r="U113" s="34">
        <f t="shared" si="13"/>
        <v>0</v>
      </c>
      <c r="V113" s="61">
        <f t="shared" si="14"/>
        <v>0</v>
      </c>
      <c r="W113" s="62">
        <f t="shared" si="15"/>
        <v>0</v>
      </c>
      <c r="X113" s="35">
        <f t="shared" si="16"/>
        <v>0</v>
      </c>
      <c r="Y113" s="36">
        <v>0</v>
      </c>
    </row>
    <row r="114" spans="1:26" s="9" customFormat="1" ht="17.100000000000001" customHeight="1" x14ac:dyDescent="0.15">
      <c r="A114" s="25">
        <v>9</v>
      </c>
      <c r="B114" s="26"/>
      <c r="C114" s="27"/>
      <c r="D114" s="27"/>
      <c r="E114" s="27"/>
      <c r="F114" s="28"/>
      <c r="G114" s="27"/>
      <c r="H114" s="28"/>
      <c r="I114" s="27"/>
      <c r="J114" s="29"/>
      <c r="K114" s="59"/>
      <c r="L114" s="30"/>
      <c r="M114" s="31">
        <v>-0.05</v>
      </c>
      <c r="N114" s="32">
        <v>-0.08</v>
      </c>
      <c r="O114" s="33">
        <v>-0.1</v>
      </c>
      <c r="P114" s="5"/>
      <c r="Q114" s="25">
        <f t="shared" si="11"/>
        <v>0</v>
      </c>
      <c r="R114" s="60">
        <f t="shared" si="12"/>
        <v>0</v>
      </c>
      <c r="S114" s="60">
        <f t="shared" si="12"/>
        <v>0</v>
      </c>
      <c r="T114" s="60">
        <f t="shared" si="13"/>
        <v>0</v>
      </c>
      <c r="U114" s="34">
        <f t="shared" si="13"/>
        <v>0</v>
      </c>
      <c r="V114" s="61">
        <f t="shared" si="14"/>
        <v>0</v>
      </c>
      <c r="W114" s="62">
        <f t="shared" si="15"/>
        <v>0</v>
      </c>
      <c r="X114" s="35">
        <f t="shared" si="16"/>
        <v>0</v>
      </c>
      <c r="Y114" s="36">
        <v>0</v>
      </c>
      <c r="Z114" s="5"/>
    </row>
    <row r="115" spans="1:26" s="9" customFormat="1" ht="17.100000000000001" customHeight="1" x14ac:dyDescent="0.15">
      <c r="A115" s="25">
        <v>10</v>
      </c>
      <c r="B115" s="26"/>
      <c r="C115" s="27"/>
      <c r="D115" s="27"/>
      <c r="E115" s="27"/>
      <c r="F115" s="28"/>
      <c r="G115" s="27"/>
      <c r="H115" s="28"/>
      <c r="I115" s="27"/>
      <c r="J115" s="29"/>
      <c r="K115" s="59"/>
      <c r="L115" s="30"/>
      <c r="M115" s="31">
        <v>-0.05</v>
      </c>
      <c r="N115" s="32">
        <v>-0.08</v>
      </c>
      <c r="O115" s="33">
        <v>-0.1</v>
      </c>
      <c r="P115" s="5"/>
      <c r="Q115" s="25">
        <f t="shared" si="11"/>
        <v>0</v>
      </c>
      <c r="R115" s="60">
        <f t="shared" si="12"/>
        <v>0</v>
      </c>
      <c r="S115" s="60">
        <f t="shared" si="12"/>
        <v>0</v>
      </c>
      <c r="T115" s="60">
        <f t="shared" si="13"/>
        <v>0</v>
      </c>
      <c r="U115" s="34">
        <f t="shared" si="13"/>
        <v>0</v>
      </c>
      <c r="V115" s="61">
        <f t="shared" si="14"/>
        <v>0</v>
      </c>
      <c r="W115" s="62">
        <f t="shared" si="15"/>
        <v>0</v>
      </c>
      <c r="X115" s="35">
        <f t="shared" si="16"/>
        <v>0</v>
      </c>
      <c r="Y115" s="36">
        <v>0</v>
      </c>
      <c r="Z115" s="5"/>
    </row>
    <row r="116" spans="1:26" ht="17.100000000000001" customHeight="1" x14ac:dyDescent="0.15">
      <c r="A116" s="25">
        <v>11</v>
      </c>
      <c r="B116" s="26"/>
      <c r="C116" s="27"/>
      <c r="D116" s="27"/>
      <c r="E116" s="27"/>
      <c r="F116" s="28"/>
      <c r="G116" s="27"/>
      <c r="H116" s="28"/>
      <c r="I116" s="27"/>
      <c r="J116" s="29"/>
      <c r="K116" s="59"/>
      <c r="L116" s="30"/>
      <c r="M116" s="31">
        <v>-0.05</v>
      </c>
      <c r="N116" s="32">
        <v>-0.08</v>
      </c>
      <c r="O116" s="33">
        <v>-0.1</v>
      </c>
      <c r="Q116" s="25">
        <f t="shared" si="11"/>
        <v>0</v>
      </c>
      <c r="R116" s="60">
        <f t="shared" si="12"/>
        <v>0</v>
      </c>
      <c r="S116" s="60">
        <f t="shared" si="12"/>
        <v>0</v>
      </c>
      <c r="T116" s="60">
        <f t="shared" si="13"/>
        <v>0</v>
      </c>
      <c r="U116" s="34">
        <f t="shared" si="13"/>
        <v>0</v>
      </c>
      <c r="V116" s="61">
        <f t="shared" si="14"/>
        <v>0</v>
      </c>
      <c r="W116" s="62">
        <f t="shared" si="15"/>
        <v>0</v>
      </c>
      <c r="X116" s="35">
        <f t="shared" si="16"/>
        <v>0</v>
      </c>
      <c r="Y116" s="36">
        <v>0</v>
      </c>
    </row>
    <row r="117" spans="1:26" ht="17.100000000000001" customHeight="1" x14ac:dyDescent="0.15">
      <c r="A117" s="25">
        <v>12</v>
      </c>
      <c r="B117" s="26"/>
      <c r="C117" s="27"/>
      <c r="D117" s="27"/>
      <c r="E117" s="27"/>
      <c r="F117" s="28"/>
      <c r="G117" s="27"/>
      <c r="H117" s="28"/>
      <c r="I117" s="27"/>
      <c r="J117" s="29"/>
      <c r="K117" s="59"/>
      <c r="L117" s="30"/>
      <c r="M117" s="31">
        <v>-0.05</v>
      </c>
      <c r="N117" s="32">
        <v>-0.08</v>
      </c>
      <c r="O117" s="33">
        <v>-0.1</v>
      </c>
      <c r="Q117" s="25">
        <f t="shared" si="11"/>
        <v>0</v>
      </c>
      <c r="R117" s="60">
        <f t="shared" si="12"/>
        <v>0</v>
      </c>
      <c r="S117" s="60">
        <f t="shared" si="12"/>
        <v>0</v>
      </c>
      <c r="T117" s="60">
        <f t="shared" si="13"/>
        <v>0</v>
      </c>
      <c r="U117" s="34">
        <f t="shared" si="13"/>
        <v>0</v>
      </c>
      <c r="V117" s="61">
        <f t="shared" si="14"/>
        <v>0</v>
      </c>
      <c r="W117" s="62">
        <f t="shared" si="15"/>
        <v>0</v>
      </c>
      <c r="X117" s="35">
        <f t="shared" si="16"/>
        <v>0</v>
      </c>
      <c r="Y117" s="36">
        <v>0</v>
      </c>
    </row>
    <row r="118" spans="1:26" ht="17.100000000000001" customHeight="1" x14ac:dyDescent="0.15">
      <c r="A118" s="25">
        <v>13</v>
      </c>
      <c r="B118" s="26"/>
      <c r="C118" s="27"/>
      <c r="D118" s="27"/>
      <c r="E118" s="27"/>
      <c r="F118" s="28"/>
      <c r="G118" s="27"/>
      <c r="H118" s="28"/>
      <c r="I118" s="27"/>
      <c r="J118" s="29"/>
      <c r="K118" s="59"/>
      <c r="L118" s="30"/>
      <c r="M118" s="31">
        <v>-0.05</v>
      </c>
      <c r="N118" s="32">
        <v>-0.08</v>
      </c>
      <c r="O118" s="33">
        <v>-0.1</v>
      </c>
      <c r="Q118" s="25">
        <f t="shared" si="11"/>
        <v>0</v>
      </c>
      <c r="R118" s="60">
        <f t="shared" si="12"/>
        <v>0</v>
      </c>
      <c r="S118" s="60">
        <f t="shared" si="12"/>
        <v>0</v>
      </c>
      <c r="T118" s="60">
        <f t="shared" si="13"/>
        <v>0</v>
      </c>
      <c r="U118" s="34">
        <f t="shared" si="13"/>
        <v>0</v>
      </c>
      <c r="V118" s="61">
        <f t="shared" si="14"/>
        <v>0</v>
      </c>
      <c r="W118" s="62">
        <f t="shared" si="15"/>
        <v>0</v>
      </c>
      <c r="X118" s="35">
        <f t="shared" si="16"/>
        <v>0</v>
      </c>
      <c r="Y118" s="36">
        <v>0</v>
      </c>
    </row>
    <row r="119" spans="1:26" s="9" customFormat="1" ht="17.100000000000001" customHeight="1" x14ac:dyDescent="0.15">
      <c r="A119" s="25">
        <v>14</v>
      </c>
      <c r="B119" s="26"/>
      <c r="C119" s="27"/>
      <c r="D119" s="27"/>
      <c r="E119" s="27"/>
      <c r="F119" s="28"/>
      <c r="G119" s="27"/>
      <c r="H119" s="28"/>
      <c r="I119" s="27"/>
      <c r="J119" s="29"/>
      <c r="K119" s="59"/>
      <c r="L119" s="30"/>
      <c r="M119" s="31">
        <v>-0.05</v>
      </c>
      <c r="N119" s="32">
        <v>-0.08</v>
      </c>
      <c r="O119" s="33">
        <v>-0.1</v>
      </c>
      <c r="P119" s="5"/>
      <c r="Q119" s="25">
        <f t="shared" si="11"/>
        <v>0</v>
      </c>
      <c r="R119" s="60">
        <f t="shared" si="12"/>
        <v>0</v>
      </c>
      <c r="S119" s="60">
        <f t="shared" si="12"/>
        <v>0</v>
      </c>
      <c r="T119" s="60">
        <f t="shared" si="13"/>
        <v>0</v>
      </c>
      <c r="U119" s="34">
        <f t="shared" si="13"/>
        <v>0</v>
      </c>
      <c r="V119" s="61">
        <f t="shared" si="14"/>
        <v>0</v>
      </c>
      <c r="W119" s="62">
        <f t="shared" si="15"/>
        <v>0</v>
      </c>
      <c r="X119" s="35">
        <f t="shared" si="16"/>
        <v>0</v>
      </c>
      <c r="Y119" s="36">
        <v>0</v>
      </c>
      <c r="Z119" s="5"/>
    </row>
    <row r="120" spans="1:26" ht="17.100000000000001" customHeight="1" x14ac:dyDescent="0.15">
      <c r="A120" s="25">
        <v>15</v>
      </c>
      <c r="B120" s="26"/>
      <c r="C120" s="27"/>
      <c r="D120" s="27"/>
      <c r="E120" s="27"/>
      <c r="F120" s="28"/>
      <c r="G120" s="27"/>
      <c r="H120" s="28"/>
      <c r="I120" s="27"/>
      <c r="J120" s="29"/>
      <c r="K120" s="59"/>
      <c r="L120" s="30"/>
      <c r="M120" s="31">
        <v>-0.05</v>
      </c>
      <c r="N120" s="32">
        <v>-0.08</v>
      </c>
      <c r="O120" s="33">
        <v>-0.1</v>
      </c>
      <c r="Q120" s="25">
        <f t="shared" si="11"/>
        <v>0</v>
      </c>
      <c r="R120" s="60">
        <f t="shared" si="12"/>
        <v>0</v>
      </c>
      <c r="S120" s="60">
        <f t="shared" si="12"/>
        <v>0</v>
      </c>
      <c r="T120" s="60">
        <f t="shared" si="13"/>
        <v>0</v>
      </c>
      <c r="U120" s="34">
        <f t="shared" si="13"/>
        <v>0</v>
      </c>
      <c r="V120" s="61">
        <f t="shared" si="14"/>
        <v>0</v>
      </c>
      <c r="W120" s="62">
        <f t="shared" si="15"/>
        <v>0</v>
      </c>
      <c r="X120" s="35">
        <f t="shared" si="16"/>
        <v>0</v>
      </c>
      <c r="Y120" s="36">
        <v>0</v>
      </c>
    </row>
    <row r="121" spans="1:26" ht="17.100000000000001" customHeight="1" x14ac:dyDescent="0.15">
      <c r="A121" s="25">
        <v>16</v>
      </c>
      <c r="B121" s="26"/>
      <c r="C121" s="27"/>
      <c r="D121" s="27"/>
      <c r="E121" s="27"/>
      <c r="F121" s="28"/>
      <c r="G121" s="27"/>
      <c r="H121" s="28"/>
      <c r="I121" s="27"/>
      <c r="J121" s="29"/>
      <c r="K121" s="59"/>
      <c r="L121" s="30"/>
      <c r="M121" s="31">
        <v>-0.05</v>
      </c>
      <c r="N121" s="32">
        <v>-0.08</v>
      </c>
      <c r="O121" s="33">
        <v>-0.1</v>
      </c>
      <c r="Q121" s="25">
        <f t="shared" si="11"/>
        <v>0</v>
      </c>
      <c r="R121" s="60">
        <f t="shared" si="12"/>
        <v>0</v>
      </c>
      <c r="S121" s="60">
        <f t="shared" si="12"/>
        <v>0</v>
      </c>
      <c r="T121" s="60">
        <f t="shared" si="13"/>
        <v>0</v>
      </c>
      <c r="U121" s="34">
        <f t="shared" si="13"/>
        <v>0</v>
      </c>
      <c r="V121" s="61">
        <f t="shared" si="14"/>
        <v>0</v>
      </c>
      <c r="W121" s="62">
        <f t="shared" si="15"/>
        <v>0</v>
      </c>
      <c r="X121" s="35">
        <f t="shared" si="16"/>
        <v>0</v>
      </c>
      <c r="Y121" s="36">
        <v>0</v>
      </c>
    </row>
    <row r="122" spans="1:26" ht="17.100000000000001" customHeight="1" x14ac:dyDescent="0.15">
      <c r="A122" s="25">
        <v>17</v>
      </c>
      <c r="B122" s="26"/>
      <c r="C122" s="27"/>
      <c r="D122" s="27"/>
      <c r="E122" s="27"/>
      <c r="F122" s="28"/>
      <c r="G122" s="27"/>
      <c r="H122" s="28"/>
      <c r="I122" s="27"/>
      <c r="J122" s="29"/>
      <c r="K122" s="59"/>
      <c r="L122" s="30"/>
      <c r="M122" s="31">
        <v>-0.05</v>
      </c>
      <c r="N122" s="32">
        <v>-0.08</v>
      </c>
      <c r="O122" s="33">
        <v>-0.1</v>
      </c>
      <c r="Q122" s="25">
        <f t="shared" si="11"/>
        <v>0</v>
      </c>
      <c r="R122" s="60">
        <f t="shared" si="12"/>
        <v>0</v>
      </c>
      <c r="S122" s="60">
        <f t="shared" si="12"/>
        <v>0</v>
      </c>
      <c r="T122" s="60">
        <f t="shared" si="13"/>
        <v>0</v>
      </c>
      <c r="U122" s="34">
        <f t="shared" si="13"/>
        <v>0</v>
      </c>
      <c r="V122" s="61">
        <f t="shared" si="14"/>
        <v>0</v>
      </c>
      <c r="W122" s="62">
        <f t="shared" si="15"/>
        <v>0</v>
      </c>
      <c r="X122" s="35">
        <f t="shared" si="16"/>
        <v>0</v>
      </c>
      <c r="Y122" s="36">
        <v>0</v>
      </c>
    </row>
    <row r="123" spans="1:26" ht="17.100000000000001" customHeight="1" x14ac:dyDescent="0.15">
      <c r="A123" s="25">
        <v>18</v>
      </c>
      <c r="B123" s="26"/>
      <c r="C123" s="27"/>
      <c r="D123" s="27"/>
      <c r="E123" s="27"/>
      <c r="F123" s="28"/>
      <c r="G123" s="27"/>
      <c r="H123" s="28"/>
      <c r="I123" s="27"/>
      <c r="J123" s="29"/>
      <c r="K123" s="59"/>
      <c r="L123" s="30"/>
      <c r="M123" s="31">
        <v>-0.05</v>
      </c>
      <c r="N123" s="32">
        <v>-0.08</v>
      </c>
      <c r="O123" s="33">
        <v>-0.1</v>
      </c>
      <c r="Q123" s="25">
        <f t="shared" si="11"/>
        <v>0</v>
      </c>
      <c r="R123" s="60">
        <f t="shared" si="12"/>
        <v>0</v>
      </c>
      <c r="S123" s="60">
        <f t="shared" si="12"/>
        <v>0</v>
      </c>
      <c r="T123" s="60">
        <f t="shared" si="13"/>
        <v>0</v>
      </c>
      <c r="U123" s="34">
        <f t="shared" si="13"/>
        <v>0</v>
      </c>
      <c r="V123" s="61">
        <f t="shared" si="14"/>
        <v>0</v>
      </c>
      <c r="W123" s="62">
        <f t="shared" si="15"/>
        <v>0</v>
      </c>
      <c r="X123" s="35">
        <f t="shared" si="16"/>
        <v>0</v>
      </c>
      <c r="Y123" s="36">
        <v>0</v>
      </c>
    </row>
    <row r="124" spans="1:26" s="9" customFormat="1" ht="17.100000000000001" customHeight="1" x14ac:dyDescent="0.15">
      <c r="A124" s="25">
        <v>19</v>
      </c>
      <c r="B124" s="26"/>
      <c r="C124" s="27"/>
      <c r="D124" s="27"/>
      <c r="E124" s="27"/>
      <c r="F124" s="28"/>
      <c r="G124" s="27"/>
      <c r="H124" s="28"/>
      <c r="I124" s="27"/>
      <c r="J124" s="29"/>
      <c r="K124" s="59"/>
      <c r="L124" s="30"/>
      <c r="M124" s="31">
        <v>-0.05</v>
      </c>
      <c r="N124" s="32">
        <v>-0.08</v>
      </c>
      <c r="O124" s="33">
        <v>-0.1</v>
      </c>
      <c r="P124" s="5"/>
      <c r="Q124" s="25">
        <f t="shared" si="11"/>
        <v>0</v>
      </c>
      <c r="R124" s="60">
        <f t="shared" si="12"/>
        <v>0</v>
      </c>
      <c r="S124" s="60">
        <f t="shared" si="12"/>
        <v>0</v>
      </c>
      <c r="T124" s="60">
        <f t="shared" si="13"/>
        <v>0</v>
      </c>
      <c r="U124" s="34">
        <f t="shared" si="13"/>
        <v>0</v>
      </c>
      <c r="V124" s="61">
        <f t="shared" si="14"/>
        <v>0</v>
      </c>
      <c r="W124" s="62">
        <f t="shared" si="15"/>
        <v>0</v>
      </c>
      <c r="X124" s="35">
        <f t="shared" si="16"/>
        <v>0</v>
      </c>
      <c r="Y124" s="36">
        <v>0</v>
      </c>
      <c r="Z124" s="5"/>
    </row>
    <row r="125" spans="1:26" s="9" customFormat="1" ht="17.100000000000001" customHeight="1" x14ac:dyDescent="0.15">
      <c r="A125" s="25">
        <v>20</v>
      </c>
      <c r="B125" s="26"/>
      <c r="C125" s="27"/>
      <c r="D125" s="27"/>
      <c r="E125" s="27"/>
      <c r="F125" s="28"/>
      <c r="G125" s="27"/>
      <c r="H125" s="28"/>
      <c r="I125" s="27"/>
      <c r="J125" s="29"/>
      <c r="K125" s="59"/>
      <c r="L125" s="30"/>
      <c r="M125" s="31">
        <v>-0.05</v>
      </c>
      <c r="N125" s="32">
        <v>-0.08</v>
      </c>
      <c r="O125" s="33">
        <v>-0.1</v>
      </c>
      <c r="P125" s="5"/>
      <c r="Q125" s="25">
        <f t="shared" si="11"/>
        <v>0</v>
      </c>
      <c r="R125" s="60">
        <f t="shared" si="12"/>
        <v>0</v>
      </c>
      <c r="S125" s="60">
        <f t="shared" si="12"/>
        <v>0</v>
      </c>
      <c r="T125" s="60">
        <f t="shared" si="13"/>
        <v>0</v>
      </c>
      <c r="U125" s="34">
        <f t="shared" si="13"/>
        <v>0</v>
      </c>
      <c r="V125" s="61">
        <f t="shared" si="14"/>
        <v>0</v>
      </c>
      <c r="W125" s="62">
        <f t="shared" si="15"/>
        <v>0</v>
      </c>
      <c r="X125" s="35">
        <f t="shared" si="16"/>
        <v>0</v>
      </c>
      <c r="Y125" s="36">
        <v>0</v>
      </c>
      <c r="Z125" s="5"/>
    </row>
    <row r="126" spans="1:26" ht="17.100000000000001" customHeight="1" x14ac:dyDescent="0.15">
      <c r="A126" s="25">
        <v>21</v>
      </c>
      <c r="B126" s="26"/>
      <c r="C126" s="27"/>
      <c r="D126" s="27"/>
      <c r="E126" s="27"/>
      <c r="F126" s="28"/>
      <c r="G126" s="27"/>
      <c r="H126" s="28"/>
      <c r="I126" s="27"/>
      <c r="J126" s="29"/>
      <c r="K126" s="59"/>
      <c r="L126" s="30"/>
      <c r="M126" s="31">
        <v>-0.05</v>
      </c>
      <c r="N126" s="32">
        <v>-0.08</v>
      </c>
      <c r="O126" s="33">
        <v>-0.1</v>
      </c>
      <c r="Q126" s="25">
        <f t="shared" si="11"/>
        <v>0</v>
      </c>
      <c r="R126" s="60">
        <f t="shared" si="12"/>
        <v>0</v>
      </c>
      <c r="S126" s="60">
        <f t="shared" si="12"/>
        <v>0</v>
      </c>
      <c r="T126" s="60">
        <f t="shared" si="13"/>
        <v>0</v>
      </c>
      <c r="U126" s="34">
        <f t="shared" si="13"/>
        <v>0</v>
      </c>
      <c r="V126" s="61">
        <f t="shared" si="14"/>
        <v>0</v>
      </c>
      <c r="W126" s="62">
        <f t="shared" si="15"/>
        <v>0</v>
      </c>
      <c r="X126" s="35">
        <f t="shared" si="16"/>
        <v>0</v>
      </c>
      <c r="Y126" s="36">
        <v>0</v>
      </c>
    </row>
    <row r="127" spans="1:26" ht="17.100000000000001" customHeight="1" x14ac:dyDescent="0.15">
      <c r="A127" s="25">
        <v>22</v>
      </c>
      <c r="B127" s="26"/>
      <c r="C127" s="27"/>
      <c r="D127" s="27"/>
      <c r="E127" s="27"/>
      <c r="F127" s="28"/>
      <c r="G127" s="27"/>
      <c r="H127" s="28"/>
      <c r="I127" s="27"/>
      <c r="J127" s="29"/>
      <c r="K127" s="59"/>
      <c r="L127" s="30"/>
      <c r="M127" s="31">
        <v>-0.05</v>
      </c>
      <c r="N127" s="32">
        <v>-0.08</v>
      </c>
      <c r="O127" s="33">
        <v>-0.1</v>
      </c>
      <c r="Q127" s="25">
        <f t="shared" si="11"/>
        <v>0</v>
      </c>
      <c r="R127" s="60">
        <f t="shared" si="12"/>
        <v>0</v>
      </c>
      <c r="S127" s="60">
        <f t="shared" si="12"/>
        <v>0</v>
      </c>
      <c r="T127" s="60">
        <f t="shared" si="13"/>
        <v>0</v>
      </c>
      <c r="U127" s="34">
        <f t="shared" si="13"/>
        <v>0</v>
      </c>
      <c r="V127" s="61">
        <f t="shared" si="14"/>
        <v>0</v>
      </c>
      <c r="W127" s="62">
        <f t="shared" si="15"/>
        <v>0</v>
      </c>
      <c r="X127" s="35">
        <f t="shared" si="16"/>
        <v>0</v>
      </c>
      <c r="Y127" s="36">
        <v>0</v>
      </c>
    </row>
    <row r="128" spans="1:26" s="42" customFormat="1" ht="17.100000000000001" customHeight="1" x14ac:dyDescent="0.15">
      <c r="A128" s="37">
        <v>23</v>
      </c>
      <c r="B128" s="26"/>
      <c r="C128" s="27"/>
      <c r="D128" s="27"/>
      <c r="E128" s="27"/>
      <c r="F128" s="28"/>
      <c r="G128" s="27"/>
      <c r="H128" s="28"/>
      <c r="I128" s="27"/>
      <c r="J128" s="29"/>
      <c r="K128" s="59"/>
      <c r="L128" s="38"/>
      <c r="M128" s="39">
        <v>-0.05</v>
      </c>
      <c r="N128" s="40">
        <v>-0.08</v>
      </c>
      <c r="O128" s="41">
        <v>-0.1</v>
      </c>
      <c r="Q128" s="25">
        <f t="shared" si="11"/>
        <v>0</v>
      </c>
      <c r="R128" s="60">
        <f t="shared" si="12"/>
        <v>0</v>
      </c>
      <c r="S128" s="63">
        <f t="shared" si="12"/>
        <v>0</v>
      </c>
      <c r="T128" s="63">
        <f t="shared" si="13"/>
        <v>0</v>
      </c>
      <c r="U128" s="43">
        <f t="shared" si="13"/>
        <v>0</v>
      </c>
      <c r="V128" s="63">
        <f t="shared" si="14"/>
        <v>0</v>
      </c>
      <c r="W128" s="62">
        <f t="shared" si="15"/>
        <v>0</v>
      </c>
      <c r="X128" s="44">
        <f t="shared" si="16"/>
        <v>0</v>
      </c>
      <c r="Y128" s="45">
        <v>0</v>
      </c>
      <c r="Z128" s="5"/>
    </row>
    <row r="129" spans="1:26" s="9" customFormat="1" ht="17.100000000000001" customHeight="1" x14ac:dyDescent="0.15">
      <c r="A129" s="25">
        <v>24</v>
      </c>
      <c r="B129" s="26"/>
      <c r="C129" s="27"/>
      <c r="D129" s="27"/>
      <c r="E129" s="27"/>
      <c r="F129" s="28"/>
      <c r="G129" s="27"/>
      <c r="H129" s="28"/>
      <c r="I129" s="27"/>
      <c r="J129" s="29"/>
      <c r="K129" s="59"/>
      <c r="L129" s="30"/>
      <c r="M129" s="31">
        <v>-0.05</v>
      </c>
      <c r="N129" s="32">
        <v>-0.08</v>
      </c>
      <c r="O129" s="33">
        <v>-0.1</v>
      </c>
      <c r="P129" s="5"/>
      <c r="Q129" s="25">
        <f t="shared" si="11"/>
        <v>0</v>
      </c>
      <c r="R129" s="60">
        <f t="shared" si="12"/>
        <v>0</v>
      </c>
      <c r="S129" s="60">
        <f t="shared" si="12"/>
        <v>0</v>
      </c>
      <c r="T129" s="60">
        <f t="shared" si="13"/>
        <v>0</v>
      </c>
      <c r="U129" s="34">
        <f t="shared" si="13"/>
        <v>0</v>
      </c>
      <c r="V129" s="61">
        <f t="shared" si="14"/>
        <v>0</v>
      </c>
      <c r="W129" s="62">
        <f t="shared" si="15"/>
        <v>0</v>
      </c>
      <c r="X129" s="35">
        <f t="shared" si="16"/>
        <v>0</v>
      </c>
      <c r="Y129" s="36">
        <v>0</v>
      </c>
      <c r="Z129" s="5"/>
    </row>
    <row r="130" spans="1:26" ht="17.100000000000001" customHeight="1" x14ac:dyDescent="0.15">
      <c r="A130" s="25">
        <v>25</v>
      </c>
      <c r="B130" s="26"/>
      <c r="C130" s="27"/>
      <c r="D130" s="27"/>
      <c r="E130" s="27"/>
      <c r="F130" s="28"/>
      <c r="G130" s="27"/>
      <c r="H130" s="28"/>
      <c r="I130" s="27"/>
      <c r="J130" s="29"/>
      <c r="K130" s="59"/>
      <c r="L130" s="30"/>
      <c r="M130" s="31">
        <v>-0.05</v>
      </c>
      <c r="N130" s="32">
        <v>-0.08</v>
      </c>
      <c r="O130" s="33">
        <v>-0.1</v>
      </c>
      <c r="Q130" s="25">
        <f t="shared" si="11"/>
        <v>0</v>
      </c>
      <c r="R130" s="60">
        <f t="shared" si="12"/>
        <v>0</v>
      </c>
      <c r="S130" s="60">
        <f t="shared" si="12"/>
        <v>0</v>
      </c>
      <c r="T130" s="60">
        <f t="shared" si="13"/>
        <v>0</v>
      </c>
      <c r="U130" s="34">
        <f t="shared" si="13"/>
        <v>0</v>
      </c>
      <c r="V130" s="61">
        <f t="shared" si="14"/>
        <v>0</v>
      </c>
      <c r="W130" s="62">
        <f t="shared" si="15"/>
        <v>0</v>
      </c>
      <c r="X130" s="35">
        <f t="shared" si="16"/>
        <v>0</v>
      </c>
      <c r="Y130" s="36">
        <v>0</v>
      </c>
    </row>
    <row r="131" spans="1:26" x14ac:dyDescent="0.15">
      <c r="A131" s="46"/>
      <c r="C131" s="47"/>
      <c r="J131" s="48"/>
      <c r="K131" s="48"/>
      <c r="M131" s="31">
        <v>-0.05</v>
      </c>
      <c r="Q131" s="25">
        <f t="shared" si="11"/>
        <v>0</v>
      </c>
      <c r="R131" s="60"/>
      <c r="Y131" s="36">
        <v>0</v>
      </c>
    </row>
    <row r="132" spans="1:26" x14ac:dyDescent="0.15">
      <c r="A132" s="46"/>
      <c r="M132" s="31">
        <v>-0.05</v>
      </c>
      <c r="Q132" s="25">
        <f t="shared" si="11"/>
        <v>0</v>
      </c>
      <c r="R132" s="60"/>
      <c r="Y132" s="36">
        <v>0</v>
      </c>
    </row>
    <row r="133" spans="1:26" x14ac:dyDescent="0.15">
      <c r="M133" s="31">
        <v>-0.05</v>
      </c>
      <c r="Q133" s="25">
        <f t="shared" si="11"/>
        <v>0</v>
      </c>
      <c r="R133" s="60"/>
      <c r="Y133" s="36">
        <v>0</v>
      </c>
    </row>
    <row r="134" spans="1:26" x14ac:dyDescent="0.15">
      <c r="M134" s="31">
        <v>-0.05</v>
      </c>
      <c r="Q134" s="25">
        <f t="shared" si="11"/>
        <v>0</v>
      </c>
      <c r="R134" s="60"/>
      <c r="Y134" s="36">
        <v>0</v>
      </c>
    </row>
    <row r="135" spans="1:26" x14ac:dyDescent="0.15">
      <c r="M135" s="31">
        <v>-0.05</v>
      </c>
      <c r="Q135" s="25">
        <f t="shared" si="11"/>
        <v>0</v>
      </c>
      <c r="R135" s="60"/>
      <c r="Y135" s="36">
        <v>0</v>
      </c>
    </row>
    <row r="136" spans="1:26" x14ac:dyDescent="0.15">
      <c r="M136" s="31">
        <v>-0.05</v>
      </c>
      <c r="Q136" s="25">
        <f t="shared" si="11"/>
        <v>0</v>
      </c>
      <c r="R136" s="60"/>
      <c r="Y136" s="36">
        <v>0</v>
      </c>
    </row>
    <row r="137" spans="1:26" s="9" customFormat="1" ht="13.5" x14ac:dyDescent="0.15">
      <c r="B137" s="1"/>
      <c r="C137" s="2"/>
      <c r="D137" s="3"/>
      <c r="E137" s="3"/>
      <c r="F137" s="5"/>
      <c r="G137" s="3"/>
      <c r="H137" s="5"/>
      <c r="I137" s="5"/>
      <c r="J137" s="5"/>
      <c r="K137" s="64"/>
      <c r="L137" s="6"/>
      <c r="M137" s="31">
        <v>-0.05</v>
      </c>
      <c r="N137" s="7"/>
      <c r="O137" s="5"/>
      <c r="P137" s="5"/>
      <c r="Q137" s="25">
        <f t="shared" si="11"/>
        <v>0</v>
      </c>
      <c r="R137" s="60"/>
      <c r="S137" s="8"/>
      <c r="T137" s="8"/>
      <c r="U137" s="8"/>
      <c r="V137" s="8"/>
      <c r="W137" s="53"/>
      <c r="X137" s="8"/>
      <c r="Y137" s="36">
        <v>0</v>
      </c>
    </row>
    <row r="138" spans="1:26" x14ac:dyDescent="0.15">
      <c r="Q138" s="5"/>
      <c r="R138" s="5"/>
      <c r="S138" s="5"/>
      <c r="T138" s="5"/>
      <c r="U138" s="5"/>
      <c r="V138" s="5"/>
      <c r="W138" s="65"/>
      <c r="X138" s="5"/>
      <c r="Y138" s="5"/>
    </row>
    <row r="139" spans="1:26" x14ac:dyDescent="0.15">
      <c r="Q139" s="5"/>
      <c r="R139" s="5"/>
      <c r="S139" s="5"/>
      <c r="T139" s="5"/>
      <c r="U139" s="5"/>
      <c r="V139" s="5"/>
      <c r="W139" s="65"/>
      <c r="X139" s="5"/>
      <c r="Y139" s="5"/>
    </row>
    <row r="140" spans="1:26" ht="26.25" customHeight="1" x14ac:dyDescent="0.15">
      <c r="A140" s="66" t="s">
        <v>45</v>
      </c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</row>
    <row r="141" spans="1:26" s="17" customFormat="1" ht="40.5" customHeight="1" x14ac:dyDescent="0.15">
      <c r="A141" s="18" t="s">
        <v>7</v>
      </c>
      <c r="B141" s="19" t="s">
        <v>46</v>
      </c>
      <c r="C141" s="20" t="s">
        <v>47</v>
      </c>
      <c r="D141" s="21" t="s">
        <v>48</v>
      </c>
      <c r="E141" s="55" t="s">
        <v>0</v>
      </c>
      <c r="F141" s="18" t="s">
        <v>12</v>
      </c>
      <c r="G141" s="55" t="s">
        <v>13</v>
      </c>
      <c r="H141" s="18" t="s">
        <v>2</v>
      </c>
      <c r="I141" s="18" t="s">
        <v>14</v>
      </c>
      <c r="J141" s="18" t="s">
        <v>49</v>
      </c>
      <c r="K141" s="56" t="s">
        <v>16</v>
      </c>
      <c r="L141" s="22" t="s">
        <v>3</v>
      </c>
      <c r="M141" s="18" t="s">
        <v>50</v>
      </c>
      <c r="N141" s="23" t="s">
        <v>51</v>
      </c>
      <c r="O141" s="18" t="s">
        <v>20</v>
      </c>
      <c r="Q141" s="24" t="s">
        <v>5</v>
      </c>
      <c r="R141" s="24" t="str">
        <f>"净资产"&amp;"(单位:"&amp;X140&amp;"万元)"</f>
        <v>净资产(单位:万元)</v>
      </c>
      <c r="S141" s="18" t="str">
        <f>"投入资产"&amp;"(单位:"&amp;X140&amp;"万元)"</f>
        <v>投入资产(单位:万元)</v>
      </c>
      <c r="T141" s="57" t="s">
        <v>13</v>
      </c>
      <c r="U141" s="18" t="s">
        <v>2</v>
      </c>
      <c r="V141" s="18" t="str">
        <f>"持仓市值"&amp;"(单位:"&amp;X140&amp;"万元)"</f>
        <v>持仓市值(单位:万元)</v>
      </c>
      <c r="W141" s="58" t="s">
        <v>1</v>
      </c>
      <c r="X141" s="56" t="str">
        <f>"资金可用额度"&amp;"(单位:"&amp;X140&amp;"万元)"</f>
        <v>资金可用额度(单位:万元)</v>
      </c>
      <c r="Y141" s="18" t="s">
        <v>24</v>
      </c>
    </row>
    <row r="142" spans="1:26" ht="17.100000000000001" customHeight="1" x14ac:dyDescent="0.15">
      <c r="A142" s="25">
        <v>1</v>
      </c>
      <c r="B142" s="26"/>
      <c r="C142" s="27"/>
      <c r="D142" s="27"/>
      <c r="E142" s="27"/>
      <c r="F142" s="28"/>
      <c r="G142" s="27"/>
      <c r="H142" s="28"/>
      <c r="I142" s="27"/>
      <c r="J142" s="29"/>
      <c r="K142" s="59"/>
      <c r="L142" s="30"/>
      <c r="M142" s="31">
        <v>-0.05</v>
      </c>
      <c r="N142" s="32">
        <v>-0.08</v>
      </c>
      <c r="O142" s="33">
        <v>-0.1</v>
      </c>
      <c r="Q142" s="25">
        <f>IF(WEEKDAY(B142,2)=1,I142/$X$32,0)</f>
        <v>0</v>
      </c>
      <c r="R142" s="60">
        <f>C142/$X$32</f>
        <v>0</v>
      </c>
      <c r="S142" s="60">
        <f>D142/$X$32</f>
        <v>0</v>
      </c>
      <c r="T142" s="60">
        <f>G142</f>
        <v>0</v>
      </c>
      <c r="U142" s="34">
        <f>H142</f>
        <v>0</v>
      </c>
      <c r="V142" s="61">
        <f>I142/$X$32</f>
        <v>0</v>
      </c>
      <c r="W142" s="62">
        <f>IF(D142&gt;500,D142/$X$32,D142)</f>
        <v>0</v>
      </c>
      <c r="X142" s="35">
        <f>K142/$X$32</f>
        <v>0</v>
      </c>
      <c r="Y142" s="36">
        <v>0</v>
      </c>
    </row>
    <row r="143" spans="1:26" ht="17.100000000000001" customHeight="1" x14ac:dyDescent="0.15">
      <c r="A143" s="25">
        <v>2</v>
      </c>
      <c r="B143" s="26"/>
      <c r="C143" s="27"/>
      <c r="D143" s="27"/>
      <c r="E143" s="27"/>
      <c r="F143" s="28"/>
      <c r="G143" s="27"/>
      <c r="H143" s="28"/>
      <c r="I143" s="27"/>
      <c r="J143" s="29"/>
      <c r="K143" s="59"/>
      <c r="L143" s="30"/>
      <c r="M143" s="31">
        <v>-0.05</v>
      </c>
      <c r="N143" s="32">
        <v>-0.08</v>
      </c>
      <c r="O143" s="33">
        <v>-0.1</v>
      </c>
      <c r="Q143" s="25">
        <f t="shared" ref="Q143:Q173" si="17">IF(WEEKDAY(B143,2)=1,I143/$X$32,0)</f>
        <v>0</v>
      </c>
      <c r="R143" s="60">
        <f t="shared" ref="R143:S166" si="18">C143/$X$32</f>
        <v>0</v>
      </c>
      <c r="S143" s="60">
        <f t="shared" si="18"/>
        <v>0</v>
      </c>
      <c r="T143" s="60">
        <f t="shared" ref="T143:U166" si="19">G143</f>
        <v>0</v>
      </c>
      <c r="U143" s="34">
        <f t="shared" si="19"/>
        <v>0</v>
      </c>
      <c r="V143" s="61">
        <f t="shared" ref="V143:V166" si="20">I143/$X$32</f>
        <v>0</v>
      </c>
      <c r="W143" s="62">
        <f t="shared" ref="W143:W166" si="21">IF(D143&gt;500,D143/$X$32,D143)</f>
        <v>0</v>
      </c>
      <c r="X143" s="35">
        <f t="shared" ref="X143:X166" si="22">K143/$X$32</f>
        <v>0</v>
      </c>
      <c r="Y143" s="36">
        <v>0</v>
      </c>
    </row>
    <row r="144" spans="1:26" ht="17.100000000000001" customHeight="1" x14ac:dyDescent="0.15">
      <c r="A144" s="25">
        <v>3</v>
      </c>
      <c r="B144" s="26"/>
      <c r="C144" s="27"/>
      <c r="D144" s="27"/>
      <c r="E144" s="27"/>
      <c r="F144" s="28"/>
      <c r="G144" s="27"/>
      <c r="H144" s="28"/>
      <c r="I144" s="27"/>
      <c r="J144" s="29"/>
      <c r="K144" s="59"/>
      <c r="L144" s="30"/>
      <c r="M144" s="31">
        <v>-0.05</v>
      </c>
      <c r="N144" s="32">
        <v>-0.08</v>
      </c>
      <c r="O144" s="33">
        <v>-0.1</v>
      </c>
      <c r="Q144" s="25">
        <f t="shared" si="17"/>
        <v>0</v>
      </c>
      <c r="R144" s="60">
        <f t="shared" si="18"/>
        <v>0</v>
      </c>
      <c r="S144" s="60">
        <f t="shared" si="18"/>
        <v>0</v>
      </c>
      <c r="T144" s="60">
        <f t="shared" si="19"/>
        <v>0</v>
      </c>
      <c r="U144" s="34">
        <f t="shared" si="19"/>
        <v>0</v>
      </c>
      <c r="V144" s="61">
        <f t="shared" si="20"/>
        <v>0</v>
      </c>
      <c r="W144" s="62">
        <f t="shared" si="21"/>
        <v>0</v>
      </c>
      <c r="X144" s="35">
        <f t="shared" si="22"/>
        <v>0</v>
      </c>
      <c r="Y144" s="36">
        <v>0</v>
      </c>
    </row>
    <row r="145" spans="1:26" s="9" customFormat="1" ht="17.100000000000001" customHeight="1" x14ac:dyDescent="0.15">
      <c r="A145" s="25">
        <v>4</v>
      </c>
      <c r="B145" s="26"/>
      <c r="C145" s="27"/>
      <c r="D145" s="27"/>
      <c r="E145" s="27"/>
      <c r="F145" s="28"/>
      <c r="G145" s="27"/>
      <c r="H145" s="28"/>
      <c r="I145" s="27"/>
      <c r="J145" s="29"/>
      <c r="K145" s="59"/>
      <c r="L145" s="30"/>
      <c r="M145" s="31">
        <v>-0.05</v>
      </c>
      <c r="N145" s="32">
        <v>-0.08</v>
      </c>
      <c r="O145" s="33">
        <v>-0.1</v>
      </c>
      <c r="P145" s="5"/>
      <c r="Q145" s="25">
        <f t="shared" si="17"/>
        <v>0</v>
      </c>
      <c r="R145" s="60">
        <f t="shared" si="18"/>
        <v>0</v>
      </c>
      <c r="S145" s="60">
        <f t="shared" si="18"/>
        <v>0</v>
      </c>
      <c r="T145" s="60">
        <f t="shared" si="19"/>
        <v>0</v>
      </c>
      <c r="U145" s="34">
        <f t="shared" si="19"/>
        <v>0</v>
      </c>
      <c r="V145" s="61">
        <f t="shared" si="20"/>
        <v>0</v>
      </c>
      <c r="W145" s="62">
        <f t="shared" si="21"/>
        <v>0</v>
      </c>
      <c r="X145" s="35">
        <f t="shared" si="22"/>
        <v>0</v>
      </c>
      <c r="Y145" s="36">
        <v>0</v>
      </c>
      <c r="Z145" s="5"/>
    </row>
    <row r="146" spans="1:26" ht="17.100000000000001" customHeight="1" x14ac:dyDescent="0.15">
      <c r="A146" s="25">
        <v>5</v>
      </c>
      <c r="B146" s="26"/>
      <c r="C146" s="27"/>
      <c r="D146" s="27"/>
      <c r="E146" s="27"/>
      <c r="F146" s="28"/>
      <c r="G146" s="27"/>
      <c r="H146" s="28"/>
      <c r="I146" s="27"/>
      <c r="J146" s="29"/>
      <c r="K146" s="59"/>
      <c r="L146" s="30"/>
      <c r="M146" s="31">
        <v>-0.05</v>
      </c>
      <c r="N146" s="32">
        <v>-0.08</v>
      </c>
      <c r="O146" s="33">
        <v>-0.1</v>
      </c>
      <c r="Q146" s="25">
        <f t="shared" si="17"/>
        <v>0</v>
      </c>
      <c r="R146" s="60">
        <f t="shared" si="18"/>
        <v>0</v>
      </c>
      <c r="S146" s="60">
        <f t="shared" si="18"/>
        <v>0</v>
      </c>
      <c r="T146" s="60">
        <f t="shared" si="19"/>
        <v>0</v>
      </c>
      <c r="U146" s="34">
        <f t="shared" si="19"/>
        <v>0</v>
      </c>
      <c r="V146" s="61">
        <f t="shared" si="20"/>
        <v>0</v>
      </c>
      <c r="W146" s="62">
        <f t="shared" si="21"/>
        <v>0</v>
      </c>
      <c r="X146" s="35">
        <f t="shared" si="22"/>
        <v>0</v>
      </c>
      <c r="Y146" s="36">
        <v>0</v>
      </c>
    </row>
    <row r="147" spans="1:26" ht="17.100000000000001" customHeight="1" x14ac:dyDescent="0.15">
      <c r="A147" s="25">
        <v>6</v>
      </c>
      <c r="B147" s="26"/>
      <c r="C147" s="27"/>
      <c r="D147" s="27"/>
      <c r="E147" s="27"/>
      <c r="F147" s="28"/>
      <c r="G147" s="27"/>
      <c r="H147" s="28"/>
      <c r="I147" s="27"/>
      <c r="J147" s="29"/>
      <c r="K147" s="59"/>
      <c r="L147" s="30"/>
      <c r="M147" s="31">
        <v>-0.05</v>
      </c>
      <c r="N147" s="32">
        <v>-0.08</v>
      </c>
      <c r="O147" s="33">
        <v>-0.1</v>
      </c>
      <c r="Q147" s="25">
        <f t="shared" si="17"/>
        <v>0</v>
      </c>
      <c r="R147" s="60">
        <f t="shared" si="18"/>
        <v>0</v>
      </c>
      <c r="S147" s="60">
        <f t="shared" si="18"/>
        <v>0</v>
      </c>
      <c r="T147" s="60">
        <f t="shared" si="19"/>
        <v>0</v>
      </c>
      <c r="U147" s="34">
        <f t="shared" si="19"/>
        <v>0</v>
      </c>
      <c r="V147" s="61">
        <f t="shared" si="20"/>
        <v>0</v>
      </c>
      <c r="W147" s="62">
        <f t="shared" si="21"/>
        <v>0</v>
      </c>
      <c r="X147" s="35">
        <f t="shared" si="22"/>
        <v>0</v>
      </c>
      <c r="Y147" s="36">
        <v>0</v>
      </c>
    </row>
    <row r="148" spans="1:26" ht="17.100000000000001" customHeight="1" x14ac:dyDescent="0.15">
      <c r="A148" s="25">
        <v>7</v>
      </c>
      <c r="B148" s="26"/>
      <c r="C148" s="27"/>
      <c r="D148" s="27"/>
      <c r="E148" s="27"/>
      <c r="F148" s="28"/>
      <c r="G148" s="27"/>
      <c r="H148" s="28"/>
      <c r="I148" s="27"/>
      <c r="J148" s="29"/>
      <c r="K148" s="59"/>
      <c r="L148" s="30"/>
      <c r="M148" s="31">
        <v>-0.05</v>
      </c>
      <c r="N148" s="32">
        <v>-0.08</v>
      </c>
      <c r="O148" s="33">
        <v>-0.1</v>
      </c>
      <c r="Q148" s="25">
        <f t="shared" si="17"/>
        <v>0</v>
      </c>
      <c r="R148" s="60">
        <f t="shared" si="18"/>
        <v>0</v>
      </c>
      <c r="S148" s="60">
        <f t="shared" si="18"/>
        <v>0</v>
      </c>
      <c r="T148" s="60">
        <f t="shared" si="19"/>
        <v>0</v>
      </c>
      <c r="U148" s="34">
        <f t="shared" si="19"/>
        <v>0</v>
      </c>
      <c r="V148" s="61">
        <f t="shared" si="20"/>
        <v>0</v>
      </c>
      <c r="W148" s="62">
        <f t="shared" si="21"/>
        <v>0</v>
      </c>
      <c r="X148" s="35">
        <f t="shared" si="22"/>
        <v>0</v>
      </c>
      <c r="Y148" s="36">
        <v>0</v>
      </c>
    </row>
    <row r="149" spans="1:26" ht="17.100000000000001" customHeight="1" x14ac:dyDescent="0.15">
      <c r="A149" s="25">
        <v>8</v>
      </c>
      <c r="B149" s="26"/>
      <c r="C149" s="27"/>
      <c r="D149" s="27"/>
      <c r="E149" s="27"/>
      <c r="F149" s="28"/>
      <c r="G149" s="27"/>
      <c r="H149" s="28"/>
      <c r="I149" s="27"/>
      <c r="J149" s="29"/>
      <c r="K149" s="59"/>
      <c r="L149" s="30"/>
      <c r="M149" s="31">
        <v>-0.05</v>
      </c>
      <c r="N149" s="32">
        <v>-0.08</v>
      </c>
      <c r="O149" s="33">
        <v>-0.1</v>
      </c>
      <c r="Q149" s="25">
        <f t="shared" si="17"/>
        <v>0</v>
      </c>
      <c r="R149" s="60">
        <f t="shared" si="18"/>
        <v>0</v>
      </c>
      <c r="S149" s="60">
        <f t="shared" si="18"/>
        <v>0</v>
      </c>
      <c r="T149" s="60">
        <f t="shared" si="19"/>
        <v>0</v>
      </c>
      <c r="U149" s="34">
        <f t="shared" si="19"/>
        <v>0</v>
      </c>
      <c r="V149" s="61">
        <f t="shared" si="20"/>
        <v>0</v>
      </c>
      <c r="W149" s="62">
        <f t="shared" si="21"/>
        <v>0</v>
      </c>
      <c r="X149" s="35">
        <f t="shared" si="22"/>
        <v>0</v>
      </c>
      <c r="Y149" s="36">
        <v>0</v>
      </c>
    </row>
    <row r="150" spans="1:26" s="9" customFormat="1" ht="17.100000000000001" customHeight="1" x14ac:dyDescent="0.15">
      <c r="A150" s="25">
        <v>9</v>
      </c>
      <c r="B150" s="26"/>
      <c r="C150" s="27"/>
      <c r="D150" s="27"/>
      <c r="E150" s="27"/>
      <c r="F150" s="28"/>
      <c r="G150" s="27"/>
      <c r="H150" s="28"/>
      <c r="I150" s="27"/>
      <c r="J150" s="29"/>
      <c r="K150" s="59"/>
      <c r="L150" s="30"/>
      <c r="M150" s="31">
        <v>-0.05</v>
      </c>
      <c r="N150" s="32">
        <v>-0.08</v>
      </c>
      <c r="O150" s="33">
        <v>-0.1</v>
      </c>
      <c r="P150" s="5"/>
      <c r="Q150" s="25">
        <f t="shared" si="17"/>
        <v>0</v>
      </c>
      <c r="R150" s="60">
        <f t="shared" si="18"/>
        <v>0</v>
      </c>
      <c r="S150" s="60">
        <f t="shared" si="18"/>
        <v>0</v>
      </c>
      <c r="T150" s="60">
        <f t="shared" si="19"/>
        <v>0</v>
      </c>
      <c r="U150" s="34">
        <f t="shared" si="19"/>
        <v>0</v>
      </c>
      <c r="V150" s="61">
        <f t="shared" si="20"/>
        <v>0</v>
      </c>
      <c r="W150" s="62">
        <f t="shared" si="21"/>
        <v>0</v>
      </c>
      <c r="X150" s="35">
        <f t="shared" si="22"/>
        <v>0</v>
      </c>
      <c r="Y150" s="36">
        <v>0</v>
      </c>
      <c r="Z150" s="5"/>
    </row>
    <row r="151" spans="1:26" s="9" customFormat="1" ht="17.100000000000001" customHeight="1" x14ac:dyDescent="0.15">
      <c r="A151" s="25">
        <v>10</v>
      </c>
      <c r="B151" s="26"/>
      <c r="C151" s="27"/>
      <c r="D151" s="27"/>
      <c r="E151" s="27"/>
      <c r="F151" s="28"/>
      <c r="G151" s="27"/>
      <c r="H151" s="28"/>
      <c r="I151" s="27"/>
      <c r="J151" s="29"/>
      <c r="K151" s="59"/>
      <c r="L151" s="30"/>
      <c r="M151" s="31">
        <v>-0.05</v>
      </c>
      <c r="N151" s="32">
        <v>-0.08</v>
      </c>
      <c r="O151" s="33">
        <v>-0.1</v>
      </c>
      <c r="P151" s="5"/>
      <c r="Q151" s="25">
        <f t="shared" si="17"/>
        <v>0</v>
      </c>
      <c r="R151" s="60">
        <f t="shared" si="18"/>
        <v>0</v>
      </c>
      <c r="S151" s="60">
        <f t="shared" si="18"/>
        <v>0</v>
      </c>
      <c r="T151" s="60">
        <f t="shared" si="19"/>
        <v>0</v>
      </c>
      <c r="U151" s="34">
        <f t="shared" si="19"/>
        <v>0</v>
      </c>
      <c r="V151" s="61">
        <f t="shared" si="20"/>
        <v>0</v>
      </c>
      <c r="W151" s="62">
        <f t="shared" si="21"/>
        <v>0</v>
      </c>
      <c r="X151" s="35">
        <f t="shared" si="22"/>
        <v>0</v>
      </c>
      <c r="Y151" s="36">
        <v>0</v>
      </c>
      <c r="Z151" s="5"/>
    </row>
    <row r="152" spans="1:26" ht="17.100000000000001" customHeight="1" x14ac:dyDescent="0.15">
      <c r="A152" s="25">
        <v>11</v>
      </c>
      <c r="B152" s="26"/>
      <c r="C152" s="27"/>
      <c r="D152" s="27"/>
      <c r="E152" s="27"/>
      <c r="F152" s="28"/>
      <c r="G152" s="27"/>
      <c r="H152" s="28"/>
      <c r="I152" s="27"/>
      <c r="J152" s="29"/>
      <c r="K152" s="59"/>
      <c r="L152" s="30"/>
      <c r="M152" s="31">
        <v>-0.05</v>
      </c>
      <c r="N152" s="32">
        <v>-0.08</v>
      </c>
      <c r="O152" s="33">
        <v>-0.1</v>
      </c>
      <c r="Q152" s="25">
        <f t="shared" si="17"/>
        <v>0</v>
      </c>
      <c r="R152" s="60">
        <f t="shared" si="18"/>
        <v>0</v>
      </c>
      <c r="S152" s="60">
        <f t="shared" si="18"/>
        <v>0</v>
      </c>
      <c r="T152" s="60">
        <f t="shared" si="19"/>
        <v>0</v>
      </c>
      <c r="U152" s="34">
        <f t="shared" si="19"/>
        <v>0</v>
      </c>
      <c r="V152" s="61">
        <f t="shared" si="20"/>
        <v>0</v>
      </c>
      <c r="W152" s="62">
        <f t="shared" si="21"/>
        <v>0</v>
      </c>
      <c r="X152" s="35">
        <f t="shared" si="22"/>
        <v>0</v>
      </c>
      <c r="Y152" s="36">
        <v>0</v>
      </c>
    </row>
    <row r="153" spans="1:26" ht="17.100000000000001" customHeight="1" x14ac:dyDescent="0.15">
      <c r="A153" s="25">
        <v>12</v>
      </c>
      <c r="B153" s="26"/>
      <c r="C153" s="27"/>
      <c r="D153" s="27"/>
      <c r="E153" s="27"/>
      <c r="F153" s="28"/>
      <c r="G153" s="27"/>
      <c r="H153" s="28"/>
      <c r="I153" s="27"/>
      <c r="J153" s="29"/>
      <c r="K153" s="59"/>
      <c r="L153" s="30"/>
      <c r="M153" s="31">
        <v>-0.05</v>
      </c>
      <c r="N153" s="32">
        <v>-0.08</v>
      </c>
      <c r="O153" s="33">
        <v>-0.1</v>
      </c>
      <c r="Q153" s="25">
        <f t="shared" si="17"/>
        <v>0</v>
      </c>
      <c r="R153" s="60">
        <f t="shared" si="18"/>
        <v>0</v>
      </c>
      <c r="S153" s="60">
        <f t="shared" si="18"/>
        <v>0</v>
      </c>
      <c r="T153" s="60">
        <f t="shared" si="19"/>
        <v>0</v>
      </c>
      <c r="U153" s="34">
        <f t="shared" si="19"/>
        <v>0</v>
      </c>
      <c r="V153" s="61">
        <f t="shared" si="20"/>
        <v>0</v>
      </c>
      <c r="W153" s="62">
        <f t="shared" si="21"/>
        <v>0</v>
      </c>
      <c r="X153" s="35">
        <f t="shared" si="22"/>
        <v>0</v>
      </c>
      <c r="Y153" s="36">
        <v>0</v>
      </c>
    </row>
    <row r="154" spans="1:26" ht="17.100000000000001" customHeight="1" x14ac:dyDescent="0.15">
      <c r="A154" s="25">
        <v>13</v>
      </c>
      <c r="B154" s="26"/>
      <c r="C154" s="27"/>
      <c r="D154" s="27"/>
      <c r="E154" s="27"/>
      <c r="F154" s="28"/>
      <c r="G154" s="27"/>
      <c r="H154" s="28"/>
      <c r="I154" s="27"/>
      <c r="J154" s="29"/>
      <c r="K154" s="59"/>
      <c r="L154" s="30"/>
      <c r="M154" s="31">
        <v>-0.05</v>
      </c>
      <c r="N154" s="32">
        <v>-0.08</v>
      </c>
      <c r="O154" s="33">
        <v>-0.1</v>
      </c>
      <c r="Q154" s="25">
        <f t="shared" si="17"/>
        <v>0</v>
      </c>
      <c r="R154" s="60">
        <f t="shared" si="18"/>
        <v>0</v>
      </c>
      <c r="S154" s="60">
        <f t="shared" si="18"/>
        <v>0</v>
      </c>
      <c r="T154" s="60">
        <f t="shared" si="19"/>
        <v>0</v>
      </c>
      <c r="U154" s="34">
        <f t="shared" si="19"/>
        <v>0</v>
      </c>
      <c r="V154" s="61">
        <f t="shared" si="20"/>
        <v>0</v>
      </c>
      <c r="W154" s="62">
        <f t="shared" si="21"/>
        <v>0</v>
      </c>
      <c r="X154" s="35">
        <f t="shared" si="22"/>
        <v>0</v>
      </c>
      <c r="Y154" s="36">
        <v>0</v>
      </c>
    </row>
    <row r="155" spans="1:26" s="9" customFormat="1" ht="17.100000000000001" customHeight="1" x14ac:dyDescent="0.15">
      <c r="A155" s="25">
        <v>14</v>
      </c>
      <c r="B155" s="26"/>
      <c r="C155" s="27"/>
      <c r="D155" s="27"/>
      <c r="E155" s="27"/>
      <c r="F155" s="28"/>
      <c r="G155" s="27"/>
      <c r="H155" s="28"/>
      <c r="I155" s="27"/>
      <c r="J155" s="29"/>
      <c r="K155" s="59"/>
      <c r="L155" s="30"/>
      <c r="M155" s="31">
        <v>-0.05</v>
      </c>
      <c r="N155" s="32">
        <v>-0.08</v>
      </c>
      <c r="O155" s="33">
        <v>-0.1</v>
      </c>
      <c r="P155" s="5"/>
      <c r="Q155" s="25">
        <f t="shared" si="17"/>
        <v>0</v>
      </c>
      <c r="R155" s="60">
        <f t="shared" si="18"/>
        <v>0</v>
      </c>
      <c r="S155" s="60">
        <f t="shared" si="18"/>
        <v>0</v>
      </c>
      <c r="T155" s="60">
        <f t="shared" si="19"/>
        <v>0</v>
      </c>
      <c r="U155" s="34">
        <f t="shared" si="19"/>
        <v>0</v>
      </c>
      <c r="V155" s="61">
        <f t="shared" si="20"/>
        <v>0</v>
      </c>
      <c r="W155" s="62">
        <f t="shared" si="21"/>
        <v>0</v>
      </c>
      <c r="X155" s="35">
        <f t="shared" si="22"/>
        <v>0</v>
      </c>
      <c r="Y155" s="36">
        <v>0</v>
      </c>
      <c r="Z155" s="5"/>
    </row>
    <row r="156" spans="1:26" ht="17.100000000000001" customHeight="1" x14ac:dyDescent="0.15">
      <c r="A156" s="25">
        <v>15</v>
      </c>
      <c r="B156" s="26"/>
      <c r="C156" s="27"/>
      <c r="D156" s="27"/>
      <c r="E156" s="27"/>
      <c r="F156" s="28"/>
      <c r="G156" s="27"/>
      <c r="H156" s="28"/>
      <c r="I156" s="27"/>
      <c r="J156" s="29"/>
      <c r="K156" s="59"/>
      <c r="L156" s="30"/>
      <c r="M156" s="31">
        <v>-0.05</v>
      </c>
      <c r="N156" s="32">
        <v>-0.08</v>
      </c>
      <c r="O156" s="33">
        <v>-0.1</v>
      </c>
      <c r="Q156" s="25">
        <f t="shared" si="17"/>
        <v>0</v>
      </c>
      <c r="R156" s="60">
        <f t="shared" si="18"/>
        <v>0</v>
      </c>
      <c r="S156" s="60">
        <f t="shared" si="18"/>
        <v>0</v>
      </c>
      <c r="T156" s="60">
        <f t="shared" si="19"/>
        <v>0</v>
      </c>
      <c r="U156" s="34">
        <f t="shared" si="19"/>
        <v>0</v>
      </c>
      <c r="V156" s="61">
        <f t="shared" si="20"/>
        <v>0</v>
      </c>
      <c r="W156" s="62">
        <f t="shared" si="21"/>
        <v>0</v>
      </c>
      <c r="X156" s="35">
        <f t="shared" si="22"/>
        <v>0</v>
      </c>
      <c r="Y156" s="36">
        <v>0</v>
      </c>
    </row>
    <row r="157" spans="1:26" ht="17.100000000000001" customHeight="1" x14ac:dyDescent="0.15">
      <c r="A157" s="25">
        <v>16</v>
      </c>
      <c r="B157" s="26"/>
      <c r="C157" s="27"/>
      <c r="D157" s="27"/>
      <c r="E157" s="27"/>
      <c r="F157" s="28"/>
      <c r="G157" s="27"/>
      <c r="H157" s="28"/>
      <c r="I157" s="27"/>
      <c r="J157" s="29"/>
      <c r="K157" s="59"/>
      <c r="L157" s="30"/>
      <c r="M157" s="31">
        <v>-0.05</v>
      </c>
      <c r="N157" s="32">
        <v>-0.08</v>
      </c>
      <c r="O157" s="33">
        <v>-0.1</v>
      </c>
      <c r="Q157" s="25">
        <f t="shared" si="17"/>
        <v>0</v>
      </c>
      <c r="R157" s="60">
        <f t="shared" si="18"/>
        <v>0</v>
      </c>
      <c r="S157" s="60">
        <f t="shared" si="18"/>
        <v>0</v>
      </c>
      <c r="T157" s="60">
        <f t="shared" si="19"/>
        <v>0</v>
      </c>
      <c r="U157" s="34">
        <f t="shared" si="19"/>
        <v>0</v>
      </c>
      <c r="V157" s="61">
        <f t="shared" si="20"/>
        <v>0</v>
      </c>
      <c r="W157" s="62">
        <f t="shared" si="21"/>
        <v>0</v>
      </c>
      <c r="X157" s="35">
        <f t="shared" si="22"/>
        <v>0</v>
      </c>
      <c r="Y157" s="36">
        <v>0</v>
      </c>
    </row>
    <row r="158" spans="1:26" ht="17.100000000000001" customHeight="1" x14ac:dyDescent="0.15">
      <c r="A158" s="25">
        <v>17</v>
      </c>
      <c r="B158" s="26"/>
      <c r="C158" s="27"/>
      <c r="D158" s="27"/>
      <c r="E158" s="27"/>
      <c r="F158" s="28"/>
      <c r="G158" s="27"/>
      <c r="H158" s="28"/>
      <c r="I158" s="27"/>
      <c r="J158" s="29"/>
      <c r="K158" s="59"/>
      <c r="L158" s="30"/>
      <c r="M158" s="31">
        <v>-0.05</v>
      </c>
      <c r="N158" s="32">
        <v>-0.08</v>
      </c>
      <c r="O158" s="33">
        <v>-0.1</v>
      </c>
      <c r="Q158" s="25">
        <f t="shared" si="17"/>
        <v>0</v>
      </c>
      <c r="R158" s="60">
        <f t="shared" si="18"/>
        <v>0</v>
      </c>
      <c r="S158" s="60">
        <f t="shared" si="18"/>
        <v>0</v>
      </c>
      <c r="T158" s="60">
        <f t="shared" si="19"/>
        <v>0</v>
      </c>
      <c r="U158" s="34">
        <f t="shared" si="19"/>
        <v>0</v>
      </c>
      <c r="V158" s="61">
        <f t="shared" si="20"/>
        <v>0</v>
      </c>
      <c r="W158" s="62">
        <f t="shared" si="21"/>
        <v>0</v>
      </c>
      <c r="X158" s="35">
        <f t="shared" si="22"/>
        <v>0</v>
      </c>
      <c r="Y158" s="36">
        <v>0</v>
      </c>
    </row>
    <row r="159" spans="1:26" ht="17.100000000000001" customHeight="1" x14ac:dyDescent="0.15">
      <c r="A159" s="25">
        <v>18</v>
      </c>
      <c r="B159" s="26"/>
      <c r="C159" s="27"/>
      <c r="D159" s="27"/>
      <c r="E159" s="27"/>
      <c r="F159" s="28"/>
      <c r="G159" s="27"/>
      <c r="H159" s="28"/>
      <c r="I159" s="27"/>
      <c r="J159" s="29"/>
      <c r="K159" s="59"/>
      <c r="L159" s="30"/>
      <c r="M159" s="31">
        <v>-0.05</v>
      </c>
      <c r="N159" s="32">
        <v>-0.08</v>
      </c>
      <c r="O159" s="33">
        <v>-0.1</v>
      </c>
      <c r="Q159" s="25">
        <f t="shared" si="17"/>
        <v>0</v>
      </c>
      <c r="R159" s="60">
        <f t="shared" si="18"/>
        <v>0</v>
      </c>
      <c r="S159" s="60">
        <f t="shared" si="18"/>
        <v>0</v>
      </c>
      <c r="T159" s="60">
        <f t="shared" si="19"/>
        <v>0</v>
      </c>
      <c r="U159" s="34">
        <f t="shared" si="19"/>
        <v>0</v>
      </c>
      <c r="V159" s="61">
        <f t="shared" si="20"/>
        <v>0</v>
      </c>
      <c r="W159" s="62">
        <f t="shared" si="21"/>
        <v>0</v>
      </c>
      <c r="X159" s="35">
        <f t="shared" si="22"/>
        <v>0</v>
      </c>
      <c r="Y159" s="36">
        <v>0</v>
      </c>
    </row>
    <row r="160" spans="1:26" s="9" customFormat="1" ht="17.100000000000001" customHeight="1" x14ac:dyDescent="0.15">
      <c r="A160" s="25">
        <v>19</v>
      </c>
      <c r="B160" s="26"/>
      <c r="C160" s="27"/>
      <c r="D160" s="27"/>
      <c r="E160" s="27"/>
      <c r="F160" s="28"/>
      <c r="G160" s="27"/>
      <c r="H160" s="28"/>
      <c r="I160" s="27"/>
      <c r="J160" s="29"/>
      <c r="K160" s="59"/>
      <c r="L160" s="30"/>
      <c r="M160" s="31">
        <v>-0.05</v>
      </c>
      <c r="N160" s="32">
        <v>-0.08</v>
      </c>
      <c r="O160" s="33">
        <v>-0.1</v>
      </c>
      <c r="P160" s="5"/>
      <c r="Q160" s="25">
        <f t="shared" si="17"/>
        <v>0</v>
      </c>
      <c r="R160" s="60">
        <f t="shared" si="18"/>
        <v>0</v>
      </c>
      <c r="S160" s="60">
        <f t="shared" si="18"/>
        <v>0</v>
      </c>
      <c r="T160" s="60">
        <f t="shared" si="19"/>
        <v>0</v>
      </c>
      <c r="U160" s="34">
        <f t="shared" si="19"/>
        <v>0</v>
      </c>
      <c r="V160" s="61">
        <f t="shared" si="20"/>
        <v>0</v>
      </c>
      <c r="W160" s="62">
        <f t="shared" si="21"/>
        <v>0</v>
      </c>
      <c r="X160" s="35">
        <f t="shared" si="22"/>
        <v>0</v>
      </c>
      <c r="Y160" s="36">
        <v>0</v>
      </c>
      <c r="Z160" s="5"/>
    </row>
    <row r="161" spans="1:26" s="9" customFormat="1" ht="17.100000000000001" customHeight="1" x14ac:dyDescent="0.15">
      <c r="A161" s="25">
        <v>20</v>
      </c>
      <c r="B161" s="26"/>
      <c r="C161" s="27"/>
      <c r="D161" s="27"/>
      <c r="E161" s="27"/>
      <c r="F161" s="28"/>
      <c r="G161" s="27"/>
      <c r="H161" s="28"/>
      <c r="I161" s="27"/>
      <c r="J161" s="29"/>
      <c r="K161" s="59"/>
      <c r="L161" s="30"/>
      <c r="M161" s="31">
        <v>-0.05</v>
      </c>
      <c r="N161" s="32">
        <v>-0.08</v>
      </c>
      <c r="O161" s="33">
        <v>-0.1</v>
      </c>
      <c r="P161" s="5"/>
      <c r="Q161" s="25">
        <f t="shared" si="17"/>
        <v>0</v>
      </c>
      <c r="R161" s="60">
        <f t="shared" si="18"/>
        <v>0</v>
      </c>
      <c r="S161" s="60">
        <f t="shared" si="18"/>
        <v>0</v>
      </c>
      <c r="T161" s="60">
        <f t="shared" si="19"/>
        <v>0</v>
      </c>
      <c r="U161" s="34">
        <f t="shared" si="19"/>
        <v>0</v>
      </c>
      <c r="V161" s="61">
        <f t="shared" si="20"/>
        <v>0</v>
      </c>
      <c r="W161" s="62">
        <f t="shared" si="21"/>
        <v>0</v>
      </c>
      <c r="X161" s="35">
        <f t="shared" si="22"/>
        <v>0</v>
      </c>
      <c r="Y161" s="36">
        <v>0</v>
      </c>
      <c r="Z161" s="5"/>
    </row>
    <row r="162" spans="1:26" ht="17.100000000000001" customHeight="1" x14ac:dyDescent="0.15">
      <c r="A162" s="25">
        <v>21</v>
      </c>
      <c r="B162" s="26"/>
      <c r="C162" s="27"/>
      <c r="D162" s="27"/>
      <c r="E162" s="27"/>
      <c r="F162" s="28"/>
      <c r="G162" s="27"/>
      <c r="H162" s="28"/>
      <c r="I162" s="27"/>
      <c r="J162" s="29"/>
      <c r="K162" s="59"/>
      <c r="L162" s="30"/>
      <c r="M162" s="31">
        <v>-0.05</v>
      </c>
      <c r="N162" s="32">
        <v>-0.08</v>
      </c>
      <c r="O162" s="33">
        <v>-0.1</v>
      </c>
      <c r="Q162" s="25">
        <f t="shared" si="17"/>
        <v>0</v>
      </c>
      <c r="R162" s="60">
        <f t="shared" si="18"/>
        <v>0</v>
      </c>
      <c r="S162" s="60">
        <f t="shared" si="18"/>
        <v>0</v>
      </c>
      <c r="T162" s="60">
        <f t="shared" si="19"/>
        <v>0</v>
      </c>
      <c r="U162" s="34">
        <f t="shared" si="19"/>
        <v>0</v>
      </c>
      <c r="V162" s="61">
        <f t="shared" si="20"/>
        <v>0</v>
      </c>
      <c r="W162" s="62">
        <f t="shared" si="21"/>
        <v>0</v>
      </c>
      <c r="X162" s="35">
        <f t="shared" si="22"/>
        <v>0</v>
      </c>
      <c r="Y162" s="36">
        <v>0</v>
      </c>
    </row>
    <row r="163" spans="1:26" ht="17.100000000000001" customHeight="1" x14ac:dyDescent="0.15">
      <c r="A163" s="25">
        <v>22</v>
      </c>
      <c r="B163" s="26"/>
      <c r="C163" s="27"/>
      <c r="D163" s="27"/>
      <c r="E163" s="27"/>
      <c r="F163" s="28"/>
      <c r="G163" s="27"/>
      <c r="H163" s="28"/>
      <c r="I163" s="27"/>
      <c r="J163" s="29"/>
      <c r="K163" s="59"/>
      <c r="L163" s="30"/>
      <c r="M163" s="31">
        <v>-0.05</v>
      </c>
      <c r="N163" s="32">
        <v>-0.08</v>
      </c>
      <c r="O163" s="33">
        <v>-0.1</v>
      </c>
      <c r="Q163" s="25">
        <f t="shared" si="17"/>
        <v>0</v>
      </c>
      <c r="R163" s="60">
        <f t="shared" si="18"/>
        <v>0</v>
      </c>
      <c r="S163" s="60">
        <f t="shared" si="18"/>
        <v>0</v>
      </c>
      <c r="T163" s="60">
        <f t="shared" si="19"/>
        <v>0</v>
      </c>
      <c r="U163" s="34">
        <f t="shared" si="19"/>
        <v>0</v>
      </c>
      <c r="V163" s="61">
        <f t="shared" si="20"/>
        <v>0</v>
      </c>
      <c r="W163" s="62">
        <f t="shared" si="21"/>
        <v>0</v>
      </c>
      <c r="X163" s="35">
        <f t="shared" si="22"/>
        <v>0</v>
      </c>
      <c r="Y163" s="36">
        <v>0</v>
      </c>
    </row>
    <row r="164" spans="1:26" s="42" customFormat="1" ht="17.100000000000001" customHeight="1" x14ac:dyDescent="0.15">
      <c r="A164" s="37">
        <v>23</v>
      </c>
      <c r="B164" s="26"/>
      <c r="C164" s="27"/>
      <c r="D164" s="27"/>
      <c r="E164" s="27"/>
      <c r="F164" s="28"/>
      <c r="G164" s="27"/>
      <c r="H164" s="28"/>
      <c r="I164" s="27"/>
      <c r="J164" s="29"/>
      <c r="K164" s="59"/>
      <c r="L164" s="38"/>
      <c r="M164" s="39">
        <v>-0.05</v>
      </c>
      <c r="N164" s="40">
        <v>-0.08</v>
      </c>
      <c r="O164" s="41">
        <v>-0.1</v>
      </c>
      <c r="Q164" s="25">
        <f t="shared" si="17"/>
        <v>0</v>
      </c>
      <c r="R164" s="60">
        <f t="shared" si="18"/>
        <v>0</v>
      </c>
      <c r="S164" s="63">
        <f t="shared" si="18"/>
        <v>0</v>
      </c>
      <c r="T164" s="63">
        <f t="shared" si="19"/>
        <v>0</v>
      </c>
      <c r="U164" s="43">
        <f t="shared" si="19"/>
        <v>0</v>
      </c>
      <c r="V164" s="63">
        <f t="shared" si="20"/>
        <v>0</v>
      </c>
      <c r="W164" s="62">
        <f t="shared" si="21"/>
        <v>0</v>
      </c>
      <c r="X164" s="44">
        <f t="shared" si="22"/>
        <v>0</v>
      </c>
      <c r="Y164" s="45">
        <v>0</v>
      </c>
      <c r="Z164" s="5"/>
    </row>
    <row r="165" spans="1:26" s="9" customFormat="1" ht="17.100000000000001" customHeight="1" x14ac:dyDescent="0.15">
      <c r="A165" s="25">
        <v>24</v>
      </c>
      <c r="B165" s="26"/>
      <c r="C165" s="27"/>
      <c r="D165" s="27"/>
      <c r="E165" s="27"/>
      <c r="F165" s="28"/>
      <c r="G165" s="27"/>
      <c r="H165" s="28"/>
      <c r="I165" s="27"/>
      <c r="J165" s="29"/>
      <c r="K165" s="59"/>
      <c r="L165" s="30"/>
      <c r="M165" s="31">
        <v>-0.05</v>
      </c>
      <c r="N165" s="32">
        <v>-0.08</v>
      </c>
      <c r="O165" s="33">
        <v>-0.1</v>
      </c>
      <c r="P165" s="5"/>
      <c r="Q165" s="25">
        <f t="shared" si="17"/>
        <v>0</v>
      </c>
      <c r="R165" s="60">
        <f t="shared" si="18"/>
        <v>0</v>
      </c>
      <c r="S165" s="60">
        <f t="shared" si="18"/>
        <v>0</v>
      </c>
      <c r="T165" s="60">
        <f t="shared" si="19"/>
        <v>0</v>
      </c>
      <c r="U165" s="34">
        <f t="shared" si="19"/>
        <v>0</v>
      </c>
      <c r="V165" s="61">
        <f t="shared" si="20"/>
        <v>0</v>
      </c>
      <c r="W165" s="62">
        <f t="shared" si="21"/>
        <v>0</v>
      </c>
      <c r="X165" s="35">
        <f t="shared" si="22"/>
        <v>0</v>
      </c>
      <c r="Y165" s="36">
        <v>0</v>
      </c>
      <c r="Z165" s="5"/>
    </row>
    <row r="166" spans="1:26" ht="17.100000000000001" customHeight="1" x14ac:dyDescent="0.15">
      <c r="A166" s="25">
        <v>25</v>
      </c>
      <c r="B166" s="26"/>
      <c r="C166" s="27"/>
      <c r="D166" s="27"/>
      <c r="E166" s="27"/>
      <c r="F166" s="28"/>
      <c r="G166" s="27"/>
      <c r="H166" s="28"/>
      <c r="I166" s="27"/>
      <c r="J166" s="29"/>
      <c r="K166" s="59"/>
      <c r="L166" s="30"/>
      <c r="M166" s="31">
        <v>-0.05</v>
      </c>
      <c r="N166" s="32">
        <v>-0.08</v>
      </c>
      <c r="O166" s="33">
        <v>-0.1</v>
      </c>
      <c r="Q166" s="25">
        <f t="shared" si="17"/>
        <v>0</v>
      </c>
      <c r="R166" s="60">
        <f t="shared" si="18"/>
        <v>0</v>
      </c>
      <c r="S166" s="60">
        <f t="shared" si="18"/>
        <v>0</v>
      </c>
      <c r="T166" s="60">
        <f t="shared" si="19"/>
        <v>0</v>
      </c>
      <c r="U166" s="34">
        <f t="shared" si="19"/>
        <v>0</v>
      </c>
      <c r="V166" s="61">
        <f t="shared" si="20"/>
        <v>0</v>
      </c>
      <c r="W166" s="62">
        <f t="shared" si="21"/>
        <v>0</v>
      </c>
      <c r="X166" s="35">
        <f t="shared" si="22"/>
        <v>0</v>
      </c>
      <c r="Y166" s="36">
        <v>0</v>
      </c>
    </row>
    <row r="167" spans="1:26" x14ac:dyDescent="0.15">
      <c r="A167" s="46"/>
      <c r="C167" s="47"/>
      <c r="J167" s="48"/>
      <c r="K167" s="48"/>
      <c r="M167" s="31">
        <v>-0.05</v>
      </c>
      <c r="Q167" s="25">
        <f t="shared" si="17"/>
        <v>0</v>
      </c>
      <c r="R167" s="60"/>
      <c r="Y167" s="36">
        <v>0</v>
      </c>
    </row>
    <row r="168" spans="1:26" x14ac:dyDescent="0.15">
      <c r="A168" s="46"/>
      <c r="M168" s="31">
        <v>-0.05</v>
      </c>
      <c r="Q168" s="25">
        <f t="shared" si="17"/>
        <v>0</v>
      </c>
      <c r="R168" s="60"/>
      <c r="Y168" s="36">
        <v>0</v>
      </c>
    </row>
    <row r="169" spans="1:26" x14ac:dyDescent="0.15">
      <c r="M169" s="31">
        <v>-0.05</v>
      </c>
      <c r="Q169" s="25">
        <f t="shared" si="17"/>
        <v>0</v>
      </c>
      <c r="R169" s="60"/>
      <c r="Y169" s="36">
        <v>0</v>
      </c>
    </row>
    <row r="170" spans="1:26" x14ac:dyDescent="0.15">
      <c r="M170" s="31">
        <v>-0.05</v>
      </c>
      <c r="Q170" s="25">
        <f t="shared" si="17"/>
        <v>0</v>
      </c>
      <c r="R170" s="60"/>
      <c r="Y170" s="36">
        <v>0</v>
      </c>
    </row>
    <row r="171" spans="1:26" x14ac:dyDescent="0.15">
      <c r="M171" s="31">
        <v>-0.05</v>
      </c>
      <c r="Q171" s="25">
        <f t="shared" si="17"/>
        <v>0</v>
      </c>
      <c r="R171" s="60"/>
      <c r="Y171" s="36">
        <v>0</v>
      </c>
    </row>
    <row r="172" spans="1:26" x14ac:dyDescent="0.15">
      <c r="M172" s="31">
        <v>-0.05</v>
      </c>
      <c r="Q172" s="25">
        <f t="shared" si="17"/>
        <v>0</v>
      </c>
      <c r="R172" s="60"/>
      <c r="Y172" s="36">
        <v>0</v>
      </c>
    </row>
    <row r="173" spans="1:26" s="9" customFormat="1" ht="13.5" x14ac:dyDescent="0.15">
      <c r="B173" s="1"/>
      <c r="C173" s="2"/>
      <c r="D173" s="3"/>
      <c r="E173" s="3"/>
      <c r="F173" s="5"/>
      <c r="G173" s="3"/>
      <c r="H173" s="5"/>
      <c r="I173" s="5"/>
      <c r="J173" s="5"/>
      <c r="K173" s="64"/>
      <c r="L173" s="6"/>
      <c r="M173" s="31">
        <v>-0.05</v>
      </c>
      <c r="N173" s="7"/>
      <c r="O173" s="5"/>
      <c r="P173" s="5"/>
      <c r="Q173" s="25">
        <f t="shared" si="17"/>
        <v>0</v>
      </c>
      <c r="R173" s="60"/>
      <c r="S173" s="8"/>
      <c r="T173" s="8"/>
      <c r="U173" s="8"/>
      <c r="V173" s="8"/>
      <c r="W173" s="53"/>
      <c r="X173" s="8"/>
      <c r="Y173" s="36">
        <v>0</v>
      </c>
    </row>
  </sheetData>
  <mergeCells count="3">
    <mergeCell ref="A68:O68"/>
    <mergeCell ref="A104:O104"/>
    <mergeCell ref="A140:O140"/>
  </mergeCells>
  <phoneticPr fontId="2" type="noConversion"/>
  <pageMargins left="0.4" right="0.26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Summary</vt:lpstr>
      <vt:lpstr>Subject</vt:lpstr>
      <vt:lpstr>Summary!Print_Area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2017-09-28T01:08:53Z</dcterms:modified>
</cp:coreProperties>
</file>